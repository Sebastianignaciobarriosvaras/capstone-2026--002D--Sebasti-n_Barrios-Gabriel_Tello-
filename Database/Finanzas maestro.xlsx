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  <sheet state="visible" name="Flujo de caja 2025" sheetId="2" r:id="rId5"/>
    <sheet state="visible" name="Flujo de caja 2026" sheetId="3" r:id="rId6"/>
    <sheet state="visible" name="Ev. KPI Constanza" sheetId="4" r:id="rId7"/>
    <sheet state="visible" name="EV - Alan " sheetId="5" r:id="rId8"/>
  </sheets>
  <externalReferences>
    <externalReference r:id="rId9"/>
    <externalReference r:id="rId10"/>
    <externalReference r:id="rId11"/>
  </externalReferences>
  <definedNames>
    <definedName name="end_time">'[1]Distributed Team Meeting Plan'!$E$6</definedName>
    <definedName name="LEADS_table">[2]!CRM_Leads_table[#Data]</definedName>
    <definedName name="start_time">'[1]Distributed Team Meeting Plan'!$D$6</definedName>
    <definedName name="Type">'[3]Maintenance Work Order'!#REF!</definedName>
    <definedName name="valHighlight">#REF!</definedName>
    <definedName name="BASE">#REF!</definedName>
    <definedName hidden="1" localSheetId="0" name="_xlnm._FilterDatabase">Registro!$A$1:$S$1429</definedName>
    <definedName hidden="1" name="Google_Sheet_Link_1595459380">Registro!$F$789</definedName>
    <definedName hidden="1" name="Google_Sheet_Link_281674223">Registro!$F$384</definedName>
    <definedName hidden="1" name="Google_Sheet_Link_578437206">Registro!$F$142</definedName>
    <definedName hidden="1" name="Google_Sheet_Link_731051395">Registro!$F$1</definedName>
    <definedName hidden="1" localSheetId="0" name="Z_734E546B_87AC_41A1_8F3E_E4EC18F5D9CD_.wvu.FilterData">Registro!$A$1:$S$1429</definedName>
  </definedNames>
  <calcPr/>
  <customWorkbookViews>
    <customWorkbookView activeSheetId="0" maximized="1" windowHeight="0" windowWidth="0" guid="{734E546B-87AC-41A1-8F3E-E4EC18F5D9CD}" name="Registro filter view"/>
  </customWorkbookViews>
  <pivotCaches>
    <pivotCache cacheId="0" r:id="rId12"/>
  </pivotCaches>
  <extLst>
    <ext uri="GoogleSheetsCustomDataVersion2">
      <go:sheetsCustomData xmlns:go="http://customooxmlschemas.google.com/" r:id="rId13" roundtripDataChecksum="2AsZqOV3o1gNfx1eDQ/DCU8Jc2Xs3nuQ0V6lN6nQkt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98">
      <text>
        <t xml:space="preserve">+860 IMPUESTO COMBUSTIBLE
$10.536 total de la boleta
======</t>
      </text>
    </comment>
    <comment authorId="0" ref="C282">
      <text>
        <t xml:space="preserve">Cód Referencia cartola
======</t>
      </text>
    </comment>
    <comment authorId="0" ref="K32">
      <text>
        <t xml:space="preserve">+3.115 (IEF) IMPUESTO COMBUSTIBLE
-702 IEV/FEPP
$10.000 total de la factura
======</t>
      </text>
    </comment>
    <comment authorId="0" ref="K63">
      <text>
        <t xml:space="preserve">+3.598 IMPUESTO COMBUSTIBLE
$20-000 total de la factura
======</t>
      </text>
    </comment>
    <comment authorId="0" ref="C278">
      <text>
        <t xml:space="preserve">Cód Referencia cartola
======</t>
      </text>
    </comment>
    <comment authorId="0" ref="K61">
      <text>
        <t xml:space="preserve">USD87.6 - Convertido a CLP 
USD 1 = 934,00
======</t>
      </text>
    </comment>
    <comment authorId="0" ref="K220">
      <text>
        <t xml:space="preserve">USD20 - Convertido a CLP 
USD 1 = 927,06
======</t>
      </text>
    </comment>
    <comment authorId="0" ref="K282">
      <text>
        <t xml:space="preserve">USD20 - Convertido a CLP 
USD 1 = 927,06
======</t>
      </text>
    </comment>
    <comment authorId="0" ref="K57">
      <text>
        <t xml:space="preserve">+4.392 IMPUESTO COMBUSTIBLE
$25.000 total de la factura
======</t>
      </text>
    </comment>
    <comment authorId="0" ref="K24">
      <text>
        <t xml:space="preserve">USD16.99 - Convertido a CLP 
USD 1 = 927,06
======</t>
      </text>
    </comment>
    <comment authorId="0" ref="K278">
      <text>
        <t xml:space="preserve">USD16.99 - Convertido a CLP 
USD 1 = 927,06
======</t>
      </text>
    </comment>
    <comment authorId="0" ref="K117">
      <text>
        <t xml:space="preserve">USD23.8 - Convertido a CLP 
USD 1 = 927,06
======</t>
      </text>
    </comment>
    <comment authorId="0" ref="K179">
      <text>
        <t xml:space="preserve">======
ID#AAACFgTvirg
Constanza Ortiz Valenzuela    (2026-08-12 02:02:25)
Corresponde al total a pagar de la factura, no por separado según concepto
------
ID#AAACGvrE4JQ
Zoron    (2026-09-08 00:53:34)
hacer coincidir facturas</t>
      </text>
    </comment>
    <comment authorId="0" ref="K82">
      <text>
        <t xml:space="preserve">+1.177 IMPUESTO COMBUSTIBLE
$11.620 total de la boleta
======</t>
      </text>
    </comment>
    <comment authorId="0" ref="K49">
      <text>
        <t xml:space="preserve">USD2.01 - Convertido a CLP 
USD 1 = 927,06
======</t>
      </text>
    </comment>
    <comment authorId="0" ref="I14">
      <text>
        <t xml:space="preserve">Monto no afecto a IVA = sin IVA
======</t>
      </text>
    </comment>
    <comment authorId="0" ref="C72">
      <text>
        <t xml:space="preserve">Cód Referencia en cartola
======</t>
      </text>
    </comment>
    <comment authorId="0" ref="K80">
      <text>
        <t xml:space="preserve">USD23.8 - Convertido a CLP 
USD 1 = 927,06
======</t>
      </text>
    </comment>
    <comment authorId="0" ref="K144">
      <text>
        <t xml:space="preserve">USD20 - Convertido a CLP 
USD 1 = 927,06
======</t>
      </text>
    </comment>
    <comment authorId="0" ref="K45">
      <text>
        <t xml:space="preserve">+5.271 IMPUESTO COMBUSTIBLE
$30.000 total de la factura
======</t>
      </text>
    </comment>
    <comment authorId="0" ref="K76">
      <text>
        <t xml:space="preserve">USD20 - Convertido a CLP 
USD 1 = 927,06
======</t>
      </text>
    </comment>
    <comment authorId="0" ref="K8">
      <text>
        <t xml:space="preserve">-1.844 IMPUESTO COMBUSTIBLE
$16.744 total de la factura
======</t>
      </text>
    </comment>
    <comment authorId="0" ref="E2">
      <text>
        <t xml:space="preserve">======
ID#AAACGvrE4Ec
Zoron    (2026-09-08 00:18:01)
confirmar fecha</t>
      </text>
    </comment>
    <comment authorId="0" ref="C223">
      <text>
        <t xml:space="preserve">Código de referencia en cartola
======</t>
      </text>
    </comment>
    <comment authorId="0" ref="Q140">
      <text>
        <t xml:space="preserve">======
ID#AAACFxTSS48
Constanza Ortiz Valenzuela    (2026-08-19 01:54:24)
no recuerdo si ya había comentado que es la misma factura (mismo n°)
------
ID#AAACGvrE4Jc
Zoron    (2026-09-08 01:00:51)
Ojo es una nota de crédito, por lo tanto anula una factura, no deberia estar conciliado ni asociado a un movimiento bancario</t>
      </text>
    </comment>
    <comment authorId="0" ref="K37">
      <text>
        <t xml:space="preserve">USD23.8 - Convertido a CLP 
USD 1 = 927,06
======</t>
      </text>
    </comment>
    <comment authorId="0" ref="C285">
      <text>
        <t xml:space="preserve">Cód de referencia en cartola
======</t>
      </text>
    </comment>
    <comment authorId="0" ref="K99">
      <text>
        <t xml:space="preserve">USD20 - Convertido a CLP 
USD 1 = 927,06
======</t>
      </text>
    </comment>
    <comment authorId="0" ref="C314">
      <text>
        <t xml:space="preserve">Cód Referencia cartola
======</t>
      </text>
    </comment>
    <comment authorId="0" ref="K223">
      <text>
        <t xml:space="preserve">USD20 - Convertido a CLP 
USD 1 = 927,06
======</t>
      </text>
    </comment>
    <comment authorId="0" ref="K157">
      <text>
        <t xml:space="preserve">USD20 - Convertido a CLP 
USD 1 = 927,06
======</t>
      </text>
    </comment>
    <comment authorId="0" ref="K124">
      <text>
        <t xml:space="preserve">USD43.8 - Convertido a CLP 
USD 1 = 927,06
======</t>
      </text>
    </comment>
    <comment authorId="0" ref="K27">
      <text>
        <t xml:space="preserve">USD20 - Convertido a CLP 
USD 1 = 927,06
======</t>
      </text>
    </comment>
    <comment authorId="0" ref="K56">
      <text>
        <t xml:space="preserve">-2.467 IMPUESTO COMBUSTIBLE
$13.101 total de la boleta
======</t>
      </text>
    </comment>
    <comment authorId="0" ref="K23">
      <text>
        <t xml:space="preserve">+4.402 (IEF) IMPUESTO COMBUSTIBLE
-507 IEV/FEPP
$15.000 total de la factura
======</t>
      </text>
    </comment>
    <comment authorId="0" ref="K87">
      <text>
        <t xml:space="preserve">USD67.6 - Convertido a CLP 
USD 1 = 927,06
======</t>
      </text>
    </comment>
    <comment authorId="0" ref="K149">
      <text>
        <t xml:space="preserve">USD23.8 - Convertido a CLP 
USD 1 = 927,06
======</t>
      </text>
    </comment>
    <comment authorId="0" ref="C75">
      <text>
        <t xml:space="preserve">Cód Referencia en cartola
======</t>
      </text>
    </comment>
    <comment authorId="0" ref="K17">
      <text>
        <t xml:space="preserve">+1 IMPUESTO COMBUSTIBLE
$15.794 total de la boleta 
======</t>
      </text>
    </comment>
    <comment authorId="0" ref="K209">
      <text>
        <t xml:space="preserve">USD36.99 - Convertido a CLP 
USD 1 = 927,06
======</t>
      </text>
    </comment>
    <comment authorId="0" ref="K176">
      <text>
        <t xml:space="preserve">USD20 - Convertido a CLP 
USD 1 = 927,06
======</t>
      </text>
    </comment>
    <comment authorId="0" ref="I13">
      <text>
        <t xml:space="preserve">Monto no afecto a IVA = sin IVA
======</t>
      </text>
    </comment>
  </commentList>
  <extLst>
    <ext uri="GoogleSheetsCustomDataVersion2">
      <go:sheetsCustomData xmlns:go="http://customooxmlschemas.google.com/" r:id="rId1" roundtripDataSignature="AMtx7mj+7HNd8DRnUCPGupvJFZnmLBwdHA=="/>
    </ext>
  </extLst>
</comments>
</file>

<file path=xl/sharedStrings.xml><?xml version="1.0" encoding="utf-8"?>
<sst xmlns="http://schemas.openxmlformats.org/spreadsheetml/2006/main" count="5790" uniqueCount="1132">
  <si>
    <t>Saldo de alerta</t>
  </si>
  <si>
    <t>Pendiente</t>
  </si>
  <si>
    <t>Documento</t>
  </si>
  <si>
    <t>Mes</t>
  </si>
  <si>
    <t>Estado de conciliación</t>
  </si>
  <si>
    <t>ENERO</t>
  </si>
  <si>
    <t>n° de documento</t>
  </si>
  <si>
    <t>Razón social</t>
  </si>
  <si>
    <t>Febrero</t>
  </si>
  <si>
    <t>Fecha</t>
  </si>
  <si>
    <t>Marzo</t>
  </si>
  <si>
    <t>Banco</t>
  </si>
  <si>
    <t>Tipo de pago</t>
  </si>
  <si>
    <t>Abril</t>
  </si>
  <si>
    <t>Neto / liquido</t>
  </si>
  <si>
    <t>IVA</t>
  </si>
  <si>
    <t>Mayo</t>
  </si>
  <si>
    <t>Imposiciones/retenciones</t>
  </si>
  <si>
    <t>Total</t>
  </si>
  <si>
    <t>Tabla de Valores Netos</t>
  </si>
  <si>
    <t>Junio</t>
  </si>
  <si>
    <t>Proyecto</t>
  </si>
  <si>
    <t>Julio</t>
  </si>
  <si>
    <t>Condición</t>
  </si>
  <si>
    <t>Tipo de flujo</t>
  </si>
  <si>
    <t>Agosto</t>
  </si>
  <si>
    <t>Descripción</t>
  </si>
  <si>
    <t>Septiembre</t>
  </si>
  <si>
    <t>Documento 1</t>
  </si>
  <si>
    <t>Indicadores Financieros</t>
  </si>
  <si>
    <t>Documento 2</t>
  </si>
  <si>
    <t>Octubre</t>
  </si>
  <si>
    <t>Documento 3</t>
  </si>
  <si>
    <t>Columna 1</t>
  </si>
  <si>
    <t>Noviembre</t>
  </si>
  <si>
    <t>INGRESO OPERACIONAL</t>
  </si>
  <si>
    <t>INGRESO NO OPERACIONAL</t>
  </si>
  <si>
    <t>GASTO</t>
  </si>
  <si>
    <t>COSTO</t>
  </si>
  <si>
    <t>Utilidad Operacional</t>
  </si>
  <si>
    <t>BOLETA DE HONORARIOS</t>
  </si>
  <si>
    <t>Margen Operacional</t>
  </si>
  <si>
    <t>Rentabilidad</t>
  </si>
  <si>
    <t>Proyectos / Items</t>
  </si>
  <si>
    <t>VARIABLE</t>
  </si>
  <si>
    <t>Diciembre</t>
  </si>
  <si>
    <t>FIJO</t>
  </si>
  <si>
    <t>N/A</t>
  </si>
  <si>
    <t>CONCILIADO</t>
  </si>
  <si>
    <t>Pago: Humberto Alejandro Ojeda</t>
  </si>
  <si>
    <t>Fecha de inicio</t>
  </si>
  <si>
    <t>B Chile</t>
  </si>
  <si>
    <t>Debito</t>
  </si>
  <si>
    <t>0.1 Concon - 2594-230-COT26</t>
  </si>
  <si>
    <t xml:space="preserve">0.3 Licanten 3299-23-L126
</t>
  </si>
  <si>
    <t>0.4 ESTACION CENTRAL 2434-1-LP26</t>
  </si>
  <si>
    <t>Fecha de término</t>
  </si>
  <si>
    <t>0.5 San Carlos 2724-454-COT26</t>
  </si>
  <si>
    <t xml:space="preserve">0.5 San Carlos 2724-454-COT26
</t>
  </si>
  <si>
    <t>Boleta de honorarios - Humberto Alejandro Ojeda</t>
  </si>
  <si>
    <t>BOLETA DE HONORARIOS ELECTRONICA N°7 HAOV</t>
  </si>
  <si>
    <t xml:space="preserve">0.7 Taller coquimbo 2446-584-COT26
</t>
  </si>
  <si>
    <t>0.8 Gestión Social Viña 2424-1046-COT26</t>
  </si>
  <si>
    <t>0.9 Paisajismo Coltauco 3997-148-COT26</t>
  </si>
  <si>
    <t>01 Coquimbo - 2446-825-COT25 - VERMICOMUNA</t>
  </si>
  <si>
    <t>Saldo inicial</t>
  </si>
  <si>
    <t>x</t>
  </si>
  <si>
    <t>02 Santiago - 1108660-31-COT25 FUCOA</t>
  </si>
  <si>
    <t>04 Santiago - 759-269-COT25 -  subsecre de Justicia</t>
  </si>
  <si>
    <t>COMPROBANTE DE PAGO</t>
  </si>
  <si>
    <t>06 Litueche - 522-110-cot25 - Georef Litueche</t>
  </si>
  <si>
    <t>PENDIENTE</t>
  </si>
  <si>
    <t>----</t>
  </si>
  <si>
    <t>Suscripcion Google LLC</t>
  </si>
  <si>
    <t>07 Santiago - 618923-105-COT25 SSFFAA</t>
  </si>
  <si>
    <t>08 Antofagasta - 607698-2-COT25 - MOP</t>
  </si>
  <si>
    <t>09 Santiago - 165-48-COT25 - CNED</t>
  </si>
  <si>
    <t>GENERAL</t>
  </si>
  <si>
    <t>10 Santiago 756-178-COT25 - subsecre de economia</t>
  </si>
  <si>
    <t>Ingresos</t>
  </si>
  <si>
    <t>Semana 1</t>
  </si>
  <si>
    <t>Cobro por suscripcion Google LLC 100gb</t>
  </si>
  <si>
    <t>Semana 2</t>
  </si>
  <si>
    <t>11 Santiago - 857-120-COT25 SENADI</t>
  </si>
  <si>
    <t>Semana 3</t>
  </si>
  <si>
    <t>Semana 4</t>
  </si>
  <si>
    <t>Semana 5</t>
  </si>
  <si>
    <t>Semana 6</t>
  </si>
  <si>
    <t>Semana 7</t>
  </si>
  <si>
    <t>Semana 8</t>
  </si>
  <si>
    <t>Semana 9</t>
  </si>
  <si>
    <t>CUENTA GOOGLE JULIO 2026</t>
  </si>
  <si>
    <t>Semana 10</t>
  </si>
  <si>
    <t>Semana 11</t>
  </si>
  <si>
    <t>Semana 12</t>
  </si>
  <si>
    <t>Semana 13</t>
  </si>
  <si>
    <t>Semana 14</t>
  </si>
  <si>
    <t>13 Santiago - 1051173-120-COT25 -MINSEGPRES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</si>
  <si>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</si>
  <si>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</si>
  <si>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</si>
  <si>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</si>
  <si>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</si>
  <si>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</si>
  <si>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</si>
  <si>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</si>
  <si>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</si>
  <si>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</si>
  <si>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</si>
  <si>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</si>
  <si>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</si>
  <si>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</si>
  <si>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</si>
  <si>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</si>
  <si>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</si>
  <si>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</si>
  <si>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</si>
  <si>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</si>
  <si>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</si>
  <si>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</si>
  <si>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</si>
  <si>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</si>
  <si>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</si>
  <si>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</si>
  <si>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</si>
  <si>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</si>
  <si>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</si>
  <si>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</si>
  <si>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</si>
  <si>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</si>
  <si>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</si>
  <si>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</si>
  <si>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</si>
  <si>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</si>
  <si>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</si>
  <si>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</si>
  <si>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</si>
  <si>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14 Atacama 667-2-LE25 Bienes Nacionales</t>
  </si>
  <si>
    <t>Ingresos totales</t>
  </si>
  <si>
    <t>Pago: Angel Hernan Pizarro Pavez</t>
  </si>
  <si>
    <t xml:space="preserve">GENERAL </t>
  </si>
  <si>
    <t>GENRAL</t>
  </si>
  <si>
    <t>INVERSION</t>
  </si>
  <si>
    <t>Suma total</t>
  </si>
  <si>
    <t>peso</t>
  </si>
  <si>
    <t>%</t>
  </si>
  <si>
    <t>Boleta de honorarios - Angel Hernan Pizarro Pavez</t>
  </si>
  <si>
    <t>BOLETA DE HONORARIOS ELECTRONICA N°7 AHPP</t>
  </si>
  <si>
    <t>BOLETA</t>
  </si>
  <si>
    <t>Operacionales</t>
  </si>
  <si>
    <t xml:space="preserve">Soc. Conc. Ruta 5 Talca-Chillán S.A. </t>
  </si>
  <si>
    <t>Efectivo</t>
  </si>
  <si>
    <t>NO operacionales</t>
  </si>
  <si>
    <t>PEAJE Plaza: San Carlos Sur</t>
  </si>
  <si>
    <t>Pago Peajes Ruta 5 Talca-Chillán 06-09-26</t>
  </si>
  <si>
    <t>Egresos</t>
  </si>
  <si>
    <t>PEAJE Plaza: Chillán Norte</t>
  </si>
  <si>
    <t>Egresos totales</t>
  </si>
  <si>
    <t>Costo fijo</t>
  </si>
  <si>
    <t>Pago Peaje Plaza San Carlos 06-09-26</t>
  </si>
  <si>
    <t>Costo variable</t>
  </si>
  <si>
    <t>Empresa Nacional de Energía ENEX S.A</t>
  </si>
  <si>
    <t>Gasto fijo</t>
  </si>
  <si>
    <t>Gasto variable</t>
  </si>
  <si>
    <t>Combustible Petróleo Diesel</t>
  </si>
  <si>
    <t>ENEX S.A. BOLETA N°1241909</t>
  </si>
  <si>
    <t>Saldo</t>
  </si>
  <si>
    <t>LIDER</t>
  </si>
  <si>
    <t>Saldo semanal</t>
  </si>
  <si>
    <t>Compra Lider articulos varios</t>
  </si>
  <si>
    <t>LIDER BOLETA 2689791942 Estación central jornada 1</t>
  </si>
  <si>
    <t>Saldo acumulado</t>
  </si>
  <si>
    <t>Compra Lider articulos de ferreteria</t>
  </si>
  <si>
    <t>LIDER BOLETA 2663056173 Maule Ambiental</t>
  </si>
  <si>
    <t>SUM de Total</t>
  </si>
  <si>
    <t>Utilidad operacional</t>
  </si>
  <si>
    <t>Margen operacional</t>
  </si>
  <si>
    <t>FACTURA</t>
  </si>
  <si>
    <t>SODIMAC S.A</t>
  </si>
  <si>
    <t xml:space="preserve">Tierra con abono natural </t>
  </si>
  <si>
    <t>F_149451576 SODIMAC S.A</t>
  </si>
  <si>
    <t>-</t>
  </si>
  <si>
    <t>-%</t>
  </si>
  <si>
    <t>Set de 5 panos microfibra 30x40cm</t>
  </si>
  <si>
    <t>F_149451577 SODIMAC S.A</t>
  </si>
  <si>
    <t>TOTALES NETOS</t>
  </si>
  <si>
    <t>ESTUDIO CONTABLE C&amp;V LIMITADA</t>
  </si>
  <si>
    <t>Credito</t>
  </si>
  <si>
    <t>Asesorias contables y RRHH</t>
  </si>
  <si>
    <t>F_189 ESTUDIO CONTABLE C&amp;V LIMITADA</t>
  </si>
  <si>
    <t>KUPOS S.A.</t>
  </si>
  <si>
    <t>SUM de Neto / liquido</t>
  </si>
  <si>
    <t>Pasajes terrestres agosto</t>
  </si>
  <si>
    <t>F_10570 KUPOS S.A</t>
  </si>
  <si>
    <t>LAFLOTECOPIA EIRL</t>
  </si>
  <si>
    <t>Compra LAFLOTECOPIA EIRL</t>
  </si>
  <si>
    <t>COMERCIAL AIPING LTD</t>
  </si>
  <si>
    <t>Compra Comercial Aiping LTD</t>
  </si>
  <si>
    <t>COPEC S.A.</t>
  </si>
  <si>
    <t>COPEC S.A. BOLETA 3196790</t>
  </si>
  <si>
    <t>Electrónica Retail Limitada</t>
  </si>
  <si>
    <t>Articulos electrónicos</t>
  </si>
  <si>
    <t>Mall Marina Viña</t>
  </si>
  <si>
    <t>BOU Shortterm Parking</t>
  </si>
  <si>
    <t>Compra Lider articulos de oficina</t>
  </si>
  <si>
    <t>LIDER BOLETA 2620638606 Maule Ambiental 1</t>
  </si>
  <si>
    <t>EASY RETAIL S.A.</t>
  </si>
  <si>
    <t>Articulos de Ferreteria</t>
  </si>
  <si>
    <t>COPEC - COMERCIAL Y DISTRIBUIDORA SEPULVEDA</t>
  </si>
  <si>
    <t>Combustible Gasolina 93</t>
  </si>
  <si>
    <t>2508 240113462371
00013226631</t>
  </si>
  <si>
    <r>
      <rPr>
        <rFont val="Inter"/>
        <color rgb="FF1155CC"/>
        <sz val="11.0"/>
        <u/>
      </rPr>
      <t>ZOOM.COM</t>
    </r>
    <r>
      <rPr>
        <rFont val="Inter"/>
        <color theme="1"/>
        <sz val="11.0"/>
      </rPr>
      <t xml:space="preserve"> 888-799-96 COMPRAS INT.VI</t>
    </r>
  </si>
  <si>
    <t>BCI</t>
  </si>
  <si>
    <r>
      <rPr>
        <rFont val="Inter"/>
        <color rgb="FF1155CC"/>
        <sz val="11.0"/>
        <u/>
      </rPr>
      <t>ZOOM.COM</t>
    </r>
    <r>
      <rPr>
        <rFont val="Inter"/>
        <color theme="1"/>
        <sz val="11.0"/>
      </rPr>
      <t xml:space="preserve"> 888-799-96 COMPRAS INT.VI</t>
    </r>
  </si>
  <si>
    <t>2026-08-27_Movimientos_Tarjeta_5645_SERVICIOS DE INGENIERIA IVAN ANDRES ARRIAGADA BASCUNAN EIRL (9).pdf</t>
  </si>
  <si>
    <t>IMPORTADORA Y DISTRIBUIDORA GO-SHOP LTDA</t>
  </si>
  <si>
    <t>Papel Fotográfico A4 y envío</t>
  </si>
  <si>
    <t>F_273895 GOSHOP</t>
  </si>
  <si>
    <t>DISTRIBUIDORA GALAXIA LIMITADA</t>
  </si>
  <si>
    <t>Resma Papel Carta 500hjs y envío</t>
  </si>
  <si>
    <t>F_20136 DISTRIBUIDORA GALAXIA</t>
  </si>
  <si>
    <t>2408 244921662341
00001852789</t>
  </si>
  <si>
    <t>OPENAI*CHATGPT SUB - Internacional</t>
  </si>
  <si>
    <t>2008 00000000</t>
  </si>
  <si>
    <t>IMPUESTO DECRETO LEY 3475 TASA 0,066 %</t>
  </si>
  <si>
    <t>COBRO ADM MENSUAL</t>
  </si>
  <si>
    <t>INTERESES ROTATIVOS</t>
  </si>
  <si>
    <t>FALABELLA RETAIL S.A.</t>
  </si>
  <si>
    <t>HP-IMPRESORA</t>
  </si>
  <si>
    <t>F_5743514 FALABELLA S.A</t>
  </si>
  <si>
    <t>COPEC - ESCOBAR Y DE DIEGO LIMITADA</t>
  </si>
  <si>
    <t>Combustible Gasolina</t>
  </si>
  <si>
    <t>CHILEXPRESS S.A.</t>
  </si>
  <si>
    <t>Envío Chilexpress</t>
  </si>
  <si>
    <t>GRABOCHILE SPA</t>
  </si>
  <si>
    <t>Materiales de trabajo</t>
  </si>
  <si>
    <t>GABROCHILE SPA F_7799</t>
  </si>
  <si>
    <t>2008 90695554</t>
  </si>
  <si>
    <t>LINKEDIN LINKEDIN LAS CONDES</t>
  </si>
  <si>
    <t>1708 24011346</t>
  </si>
  <si>
    <t>ANTHROPIC* CLAUDE S - Internacional</t>
  </si>
  <si>
    <t>ANTHROPIC* CLAUDE S</t>
  </si>
  <si>
    <t>1808 11124076</t>
  </si>
  <si>
    <t>SIMPLEDTE / PIRIOD SANTIAGO</t>
  </si>
  <si>
    <t>1708 00000000</t>
  </si>
  <si>
    <t>COMISIÓN COMPRA INTERNACIONAL</t>
  </si>
  <si>
    <t>17CJFK4L-0004</t>
  </si>
  <si>
    <t>Pago Invoice mensual</t>
  </si>
  <si>
    <t xml:space="preserve">Suscripcion mensual </t>
  </si>
  <si>
    <t>F_17CJFK4L-0004 Invoice Agosto 14</t>
  </si>
  <si>
    <t xml:space="preserve">Jumbo </t>
  </si>
  <si>
    <t>Compra jumbo torta viena</t>
  </si>
  <si>
    <t>B_3452345550 JUMBO 14 AGOSTO</t>
  </si>
  <si>
    <t>Arcos de Valparaiso SPA ORD 946</t>
  </si>
  <si>
    <t>Alimentación</t>
  </si>
  <si>
    <t>Sodimac S.A</t>
  </si>
  <si>
    <t xml:space="preserve">Compra de herramientas </t>
  </si>
  <si>
    <t>SODIMAC S.A F_149003983</t>
  </si>
  <si>
    <t>Compra de herramientas de construccion MPD</t>
  </si>
  <si>
    <t>SODIMAC S.A F_149003977</t>
  </si>
  <si>
    <t>COPEC S.A</t>
  </si>
  <si>
    <t>Combustible</t>
  </si>
  <si>
    <t>COPEC S.A F_94378</t>
  </si>
  <si>
    <t xml:space="preserve">Pago: Gary Henriquez Pinto </t>
  </si>
  <si>
    <t>Boleta de honorarios - Gary Henriquez Pinto</t>
  </si>
  <si>
    <t>BOLETA DE HONORARIOS ELECTRONICA N°76 GEHP</t>
  </si>
  <si>
    <t>Compra de Flange 200X200X4MM</t>
  </si>
  <si>
    <t>Comercializadora y distribuidora de materiales de construccion F_31437</t>
  </si>
  <si>
    <t>Comercializadora y distribuidora de materiales de construccion Ltda</t>
  </si>
  <si>
    <t>Compra de materiales de construccion (MPD)</t>
  </si>
  <si>
    <t>Comercializadora y distribuidora de materiales de construccion F_31436</t>
  </si>
  <si>
    <t>1108 24692166</t>
  </si>
  <si>
    <t>GOOGLE *Google One - Internacional</t>
  </si>
  <si>
    <t>GOOGLE *Google One</t>
  </si>
  <si>
    <t>1108 00000000</t>
  </si>
  <si>
    <t>---</t>
  </si>
  <si>
    <t>Suscripcion mensual LLC</t>
  </si>
  <si>
    <t>Cobro por suscripcion mensual Google LLC 100Gb</t>
  </si>
  <si>
    <t>CUENTA GOOGLE AGOSTO 10</t>
  </si>
  <si>
    <t xml:space="preserve">Sodimac S.A </t>
  </si>
  <si>
    <t xml:space="preserve">Compra de semillas mix </t>
  </si>
  <si>
    <t>SODIMAC S.A F_148957669</t>
  </si>
  <si>
    <t>Compra de semillas mix medicinal SEMCU</t>
  </si>
  <si>
    <t>SODIMAC S.A F_148957667</t>
  </si>
  <si>
    <t>Lider Express compra Tijeras 13cm</t>
  </si>
  <si>
    <t>Compra de tijeras supermercado lider express</t>
  </si>
  <si>
    <t>Lider Express 878984895</t>
  </si>
  <si>
    <t>Pago: Agustin Ignacion Miranda</t>
  </si>
  <si>
    <t>Boleta de honorarios - Agustin ignacion miranda</t>
  </si>
  <si>
    <t>BOLETA DE HONORARIOS ELECTRONICA N°1 AIML</t>
  </si>
  <si>
    <t>BALLENARY-SERVICIOS SPA RUT 77.468.183-3</t>
  </si>
  <si>
    <t>Combustible Petróleo</t>
  </si>
  <si>
    <t>BOLETA 1208397 BALLENARY-SERVICIOS SPA.pdf</t>
  </si>
  <si>
    <t>COPEC S.A F_94002</t>
  </si>
  <si>
    <t>IMPERIAL S.A.</t>
  </si>
  <si>
    <t>IMPERIAL S.A. F_0020398696</t>
  </si>
  <si>
    <t>Entel Servicios de ingenieria Ivan Andres</t>
  </si>
  <si>
    <t>-----</t>
  </si>
  <si>
    <t>Entel</t>
  </si>
  <si>
    <t>F_21653319 ENTEL</t>
  </si>
  <si>
    <t>Comercializadora horizonte 7 Limitada</t>
  </si>
  <si>
    <t>Compra Venta Art hogar</t>
  </si>
  <si>
    <t>COMERCIALIZADORA HORIZONTE 7 LIMITADA F_236</t>
  </si>
  <si>
    <t>0508 00000000</t>
  </si>
  <si>
    <t>TRASPASO DEUDA INTERNACIONAL</t>
  </si>
  <si>
    <t>2026-08-27_Movimientos_Tarjeta_5645_SERVICIOS DE INGENIERIA IVAN ANDRES ARRIAGADA BASCUNAN EIRL (1).pdf</t>
  </si>
  <si>
    <t>0508 01173910</t>
  </si>
  <si>
    <t>PAGO PAC EN PESOS</t>
  </si>
  <si>
    <t xml:space="preserve">Combustible </t>
  </si>
  <si>
    <t>COPEC S.A. F_938853</t>
  </si>
  <si>
    <t>COMPROBANTE DE TRANSFERENCIA</t>
  </si>
  <si>
    <t>App-Traspaso a: A. Grabochile Spa</t>
  </si>
  <si>
    <t>Transferencia a: A. Gabrochile Spa (gestión social)</t>
  </si>
  <si>
    <t>Transferencia a: A. Gabrochile Spa (gestión social Viña)</t>
  </si>
  <si>
    <t>0308 11871585</t>
  </si>
  <si>
    <t>DLOCAL*GOOGLE ADS SANTIAGO</t>
  </si>
  <si>
    <t>IMPERIAL S.A. F_0020387804</t>
  </si>
  <si>
    <t>Pago : Angel Hernan Pizarro</t>
  </si>
  <si>
    <t>Boleta de honorarios - Angel Hernan Pizarro</t>
  </si>
  <si>
    <t>BOLETA DE HONORARIOS ELECTRONICA N°6 AHPP</t>
  </si>
  <si>
    <t>Pago: Camila Fernanda Morales</t>
  </si>
  <si>
    <t>Boleta de honorarios - Camila Fernada Morales</t>
  </si>
  <si>
    <t>BOLETA DE HONORARIOS ELECTRONICA N°91 CFMS</t>
  </si>
  <si>
    <t>Compra con Tarjeta de Débito en EASY</t>
  </si>
  <si>
    <t>Cartola_Zoron_cte_julio.pdf</t>
  </si>
  <si>
    <t>Compra con Tarjeta de Débito en ESTACIONAMIENTO REPUBLIC</t>
  </si>
  <si>
    <t>Compra con Tarjeta de Débito en SODIMAC</t>
  </si>
  <si>
    <t>3107 00102011</t>
  </si>
  <si>
    <t>DL*GOOGLE ADS SANTIAGO</t>
  </si>
  <si>
    <t>2026-08-27_Movimientos_Tarjeta_5645_SERVICIOS DE INGENIERIA IVAN ANDRES ARRIAGADA BASCUNAN EIRL (7).pdf</t>
  </si>
  <si>
    <t>Agencia Eudora Spa</t>
  </si>
  <si>
    <t>Servicio de Marketing Digital e IA</t>
  </si>
  <si>
    <t>F_49 AGENCIA EUDORA SPA</t>
  </si>
  <si>
    <t>Pago: Catalina Badilla</t>
  </si>
  <si>
    <t>Boleta de honorarios - Catalina Badilla</t>
  </si>
  <si>
    <t>BOLETA DE HONORARIOS ELECTRONICA N°16 CIBB</t>
  </si>
  <si>
    <t>2407 11250245</t>
  </si>
  <si>
    <t>2207 24492166</t>
  </si>
  <si>
    <t>2026-08-27_Movimientos_Tarjeta_5645_SERVICIOS DE INGENIERIA IVAN ANDRES ARRIAGADA BASCUNAN EIRL (8).pdf</t>
  </si>
  <si>
    <t>Entel servicios de ingenieria Ivan Andres Arriagada</t>
  </si>
  <si>
    <t>Servicio publico telefonico</t>
  </si>
  <si>
    <t>F_53768820 ENTEL FIJO</t>
  </si>
  <si>
    <t>F_21591468 ENTEL</t>
  </si>
  <si>
    <t>Suscripcion mensual</t>
  </si>
  <si>
    <t xml:space="preserve">Pago credito </t>
  </si>
  <si>
    <t>F_16139 LICITALAB - PLAN CRECE JULIO 17</t>
  </si>
  <si>
    <t>1507 24011346</t>
  </si>
  <si>
    <t>17CJFK4L-0003</t>
  </si>
  <si>
    <t>F_ 17CJFK4L-0003 Invoice Julio 14</t>
  </si>
  <si>
    <t>COPEC S.A. BOLETA N°438263</t>
  </si>
  <si>
    <t>Gastos 10.07.2026 San Carlos 2724-454-COT26.pdf</t>
  </si>
  <si>
    <t>Pago Peaje Plaza Chillán Norte 10-07-26</t>
  </si>
  <si>
    <t>Actividades de Restaurantes y de Servicio Movil de Comidas</t>
  </si>
  <si>
    <t>Actividades de Restaurantes y de Servicio Movil de Comidas BOLETA N°8897</t>
  </si>
  <si>
    <t>Empresa nacional de certificacion electronica - ECERT</t>
  </si>
  <si>
    <t>Firma electronica avanzada online de un solo uso</t>
  </si>
  <si>
    <t>ECERT F_3506078</t>
  </si>
  <si>
    <t>08-07 Comprobante de Pago Firma Electrónica Estación Central</t>
  </si>
  <si>
    <t xml:space="preserve">Ruta pass pago peajes de ruta </t>
  </si>
  <si>
    <t>BOLETA RUTA PASS N°32312811</t>
  </si>
  <si>
    <t>0707 00000000</t>
  </si>
  <si>
    <t>Pac Tarjeta De Credito Visa</t>
  </si>
  <si>
    <t>F_21516300 ENTEL</t>
  </si>
  <si>
    <t xml:space="preserve">Servicio publico telefonico </t>
  </si>
  <si>
    <t>F_21512257 ENTEL FIJO</t>
  </si>
  <si>
    <t>F_43 AGENCIA EUDORA SPA</t>
  </si>
  <si>
    <t>Transferencia enviada a Ivan Arriagada</t>
  </si>
  <si>
    <t>Cartola_Zoron_cte_junio_26.pdf</t>
  </si>
  <si>
    <t>BOLETA DE HONORARIOS ELECTRONICA N°90 CFMS</t>
  </si>
  <si>
    <t>Pago: Juan Eduardo Castro</t>
  </si>
  <si>
    <t>Boleta de honorarios - Juan Eduardo Castro</t>
  </si>
  <si>
    <t>BOLETA DE HONORARIOS ELECTRONICA N°17 JECV</t>
  </si>
  <si>
    <t>BOLETA DE HONORARIOS ELECTRONICA N°14 CIBB</t>
  </si>
  <si>
    <t>Pago Peaje Plaza Chillán Norte 24-06-26</t>
  </si>
  <si>
    <t>Gastos 24.06.2026.pdf</t>
  </si>
  <si>
    <t>PEAJE Plaza Lateral San Carlos Sur</t>
  </si>
  <si>
    <t>Pago Peaje Plaza Lateral San Carlos Sur 24-06-26</t>
  </si>
  <si>
    <t>ENEX S.A. BOLETA N°11931895</t>
  </si>
  <si>
    <t>2206 24492166</t>
  </si>
  <si>
    <t>F_53680645 ENTEL FIJO</t>
  </si>
  <si>
    <t>F_15539 LICITALAB - PLAN CRECE JUNIO 17</t>
  </si>
  <si>
    <t>17CJFK4L-0002</t>
  </si>
  <si>
    <t>F_17CJFK4L-0002 Invoice Junio 14</t>
  </si>
  <si>
    <t>F_21418715 ENTEL</t>
  </si>
  <si>
    <t>Orden de compra BlueHosting Ltda</t>
  </si>
  <si>
    <t>Plan Emprendedores POWER - BlueHosting Ltda</t>
  </si>
  <si>
    <t>Orden de Compra BlueHosting Ltda N°441377</t>
  </si>
  <si>
    <t>Abono Liquidación Deposito A Plazo 071015308032</t>
  </si>
  <si>
    <t>Abono Liquidación Deposito A Plazo 071015308004</t>
  </si>
  <si>
    <t>Pago Deuda Tarjeta Crédito US$ 5645</t>
  </si>
  <si>
    <t>Pago Deuda Tarjeta de Crédito 5645</t>
  </si>
  <si>
    <t>Transferencia recibida de Servicios De Ingenieria Ivan A</t>
  </si>
  <si>
    <t>Impuesto Línea de Sobregiro</t>
  </si>
  <si>
    <t>Cartola_Zoron_cte_mayo_26.pdf</t>
  </si>
  <si>
    <t>BOLETA DE HONORARIOS ELECTRONICA N°4 AHPP</t>
  </si>
  <si>
    <t>BOLETA DE HONORARIOS ELECTRONICA N°89 CFMS</t>
  </si>
  <si>
    <t>BOLETA DE HONORARIOS ELECTRONICA N°16 JECV</t>
  </si>
  <si>
    <t>F_53442241 ENTEL</t>
  </si>
  <si>
    <t>F_15010 LICITALAB - PLAN CRECE MAYO 20</t>
  </si>
  <si>
    <t>1505 24011346</t>
  </si>
  <si>
    <r>
      <rPr>
        <rFont val="Inter"/>
        <color rgb="FF1155CC"/>
        <sz val="11.0"/>
        <u/>
      </rPr>
      <t>CLAUDE.AI</t>
    </r>
    <r>
      <rPr>
        <rFont val="Inter"/>
        <color theme="1"/>
        <sz val="11.0"/>
      </rPr>
      <t xml:space="preserve"> SUBSCRIPTION</t>
    </r>
  </si>
  <si>
    <r>
      <rPr>
        <rFont val="Inter"/>
        <color rgb="FF1155CC"/>
        <sz val="11.0"/>
        <u/>
      </rPr>
      <t>CLAUDE.AI</t>
    </r>
    <r>
      <rPr>
        <rFont val="Inter"/>
        <color theme="1"/>
        <sz val="11.0"/>
      </rPr>
      <t xml:space="preserve"> SUBSCRIPTION</t>
    </r>
  </si>
  <si>
    <t>2026-08-27_Movimientos_Tarjeta_5645_SERVICIOS DE INGENIERIA IVAN ANDRES ARRIAGADA BASCUNAN EIRL (6).pdf</t>
  </si>
  <si>
    <t xml:space="preserve"> 17CJFK4L-0001</t>
  </si>
  <si>
    <t>F_ 17CJFK4L-0001 Invoice mayo 14</t>
  </si>
  <si>
    <t>Gonzalez Salado y Compañía SPA: Elaboración de Productos de Panadería y Pastelería</t>
  </si>
  <si>
    <t>GONZALEZ SALADO Y COMPAÑÍA SPA BOLETA N°476667</t>
  </si>
  <si>
    <t>GONZALEZ SALADO Y COMPAÑÍA SPA BOLETA N°476672</t>
  </si>
  <si>
    <t>Amortización Línea de Sobregiro</t>
  </si>
  <si>
    <t>0605 00000000</t>
  </si>
  <si>
    <t>Transferencia desde Línea Sobregiro a Cta. Corrien</t>
  </si>
  <si>
    <t>PAC Tarjeta de Crédito Visa</t>
  </si>
  <si>
    <t>Cargo por captación Depósito a Plazo</t>
  </si>
  <si>
    <t>Transferencia recibida de Servicios de Ingenieria Ivan A</t>
  </si>
  <si>
    <t>Es factura de entel</t>
  </si>
  <si>
    <t>F_21345554 ENTEL</t>
  </si>
  <si>
    <t>F_14421 LICITALAB - PLAN CRECE ABRIL 20</t>
  </si>
  <si>
    <t>Abono Liquidación Deposito A Plazo 071015088627</t>
  </si>
  <si>
    <t>Material de trabajo "Palita Ancha Acero"</t>
  </si>
  <si>
    <t>EASY RETAIL S.A. BOLETA N°263092224</t>
  </si>
  <si>
    <t>F_21339315 ENTEL FIJO</t>
  </si>
  <si>
    <t>CENCOSUD RETAIL S.A.</t>
  </si>
  <si>
    <t>Articulos de oficina</t>
  </si>
  <si>
    <t>CENCOSUD RETAIL S.A. BOLETA N°3367834641</t>
  </si>
  <si>
    <t>Silob laboratorio de puerto montt Ltda.</t>
  </si>
  <si>
    <t>Lab. de analisis quim y microbiologico - organismo de inspeccion para muestreo</t>
  </si>
  <si>
    <t>SILOB LABORATORIO PUERTO MONTT LTDA. F_60279</t>
  </si>
  <si>
    <t>Orden de compra 2026-1</t>
  </si>
  <si>
    <t>Análisis Arena a realizar el 04-05-2026 31,5 UF</t>
  </si>
  <si>
    <t>NOTA DE CREDITO</t>
  </si>
  <si>
    <t>Nota de Crédito: Análisis Arenas a realizar el 04-05-2026</t>
  </si>
  <si>
    <t>SILOB LABORATORIO PUERTO MONTT LTDA. F_1979</t>
  </si>
  <si>
    <t>F1979T61-C</t>
  </si>
  <si>
    <t>Pago Servicio de Asesoría legal marcas</t>
  </si>
  <si>
    <t>Pago de Servicios Simple Marcas</t>
  </si>
  <si>
    <t>SIMPLEMARCAS - FACTURA DE SERVICIOS_11180</t>
  </si>
  <si>
    <t>SIMPLEMARCAS - FACTURA DE SERVICIOS_11154</t>
  </si>
  <si>
    <t xml:space="preserve">Orden de compra </t>
  </si>
  <si>
    <t>Pago a traves de shopify</t>
  </si>
  <si>
    <t>F_20395 COMERCIAL KALTEMP SpA ABRIL 22</t>
  </si>
  <si>
    <t>2204 24492166</t>
  </si>
  <si>
    <t>2026-08-27_Movimientos_Tarjeta_5645_SERVICIOS DE INGENIERIA IVAN ANDRES ARRIAGADA BASCUNAN EIRL (5).pdf</t>
  </si>
  <si>
    <t>Traspaso De: Servicios De Ingenieria I Van Andres Arriagada Bas</t>
  </si>
  <si>
    <t>Traspaso de fondo banco estado</t>
  </si>
  <si>
    <t>Traspaso de Fondo Banco Estado N°7064130</t>
  </si>
  <si>
    <t>Resumen de solicitud de pago</t>
  </si>
  <si>
    <t>Solicitud de Pago Banco de Chile N°8263163527</t>
  </si>
  <si>
    <t>Abono Liquidación Deposito A Plazo 071015138331</t>
  </si>
  <si>
    <t>Cartola_Zoron_cte_abril_26.pdf</t>
  </si>
  <si>
    <t>Comision Mensual Plan Ctacte Pyme</t>
  </si>
  <si>
    <t>comision cta corriente</t>
  </si>
  <si>
    <t>Comision banco marzo 26</t>
  </si>
  <si>
    <t>1504 24011346</t>
  </si>
  <si>
    <r>
      <rPr>
        <rFont val="Inter"/>
        <color rgb="FF1155CC"/>
        <sz val="11.0"/>
        <u/>
      </rPr>
      <t>CLAUDE.AI</t>
    </r>
    <r>
      <rPr>
        <rFont val="Inter"/>
        <color theme="1"/>
        <sz val="11.0"/>
      </rPr>
      <t xml:space="preserve"> SUBSCRIPTION</t>
    </r>
  </si>
  <si>
    <r>
      <rPr>
        <rFont val="Inter"/>
        <color rgb="FF1155CC"/>
        <sz val="11.0"/>
        <u/>
      </rPr>
      <t>CLAUDE.AI</t>
    </r>
    <r>
      <rPr>
        <rFont val="Inter"/>
        <color theme="1"/>
        <sz val="11.0"/>
      </rPr>
      <t xml:space="preserve"> SUBSCRIPTION</t>
    </r>
  </si>
  <si>
    <t>App-traspaso A: Juan Castro</t>
  </si>
  <si>
    <t>Remuneración liquida</t>
  </si>
  <si>
    <t>Juan Castro N° 12</t>
  </si>
  <si>
    <t>Traspaso de fondo banco bci</t>
  </si>
  <si>
    <t>C001600137812984526</t>
  </si>
  <si>
    <t>App-traspaso A: Marcelo Caicea Layana</t>
  </si>
  <si>
    <t>Previred</t>
  </si>
  <si>
    <t>MVL_EMP260410204412</t>
  </si>
  <si>
    <t xml:space="preserve">Impuesto </t>
  </si>
  <si>
    <t>App-traspaso A: Contigo Consultores</t>
  </si>
  <si>
    <t>Mensualidad</t>
  </si>
  <si>
    <t>MVL_EMP260410204112</t>
  </si>
  <si>
    <t>Pago En Tesoreria.cl*</t>
  </si>
  <si>
    <t>Acreditacion mercado publico</t>
  </si>
  <si>
    <t>Acreditacion MP</t>
  </si>
  <si>
    <t>0704 00000000</t>
  </si>
  <si>
    <t>App-traspaso A: Ivan Arriagada Bascunan</t>
  </si>
  <si>
    <t>Ammortizacion sueldo</t>
  </si>
  <si>
    <t>MVL_EMP260406091212</t>
  </si>
  <si>
    <t>Tarjeta de credito FB</t>
  </si>
  <si>
    <t>MVL_EMP260406091112</t>
  </si>
  <si>
    <t>AMORTIGUACION LINEA CREDITO</t>
  </si>
  <si>
    <t>MVL_EMP260406091012</t>
  </si>
  <si>
    <t>App-traspaso A: Ivan Arriagada Contreras</t>
  </si>
  <si>
    <t>MVL_EMP2604060909124234002310</t>
  </si>
  <si>
    <t>App-traspaso A: Gloria Bascunan</t>
  </si>
  <si>
    <t>MVL_EMP2604060908124233998180</t>
  </si>
  <si>
    <t>Pago Servicio En Mi Banconexión</t>
  </si>
  <si>
    <t>F 21261283 ENTEL</t>
  </si>
  <si>
    <t>C0016001373673591260406090520</t>
  </si>
  <si>
    <t>Servicio Publico Telefonico</t>
  </si>
  <si>
    <t>F_21288240 ENTEL</t>
  </si>
  <si>
    <t>Portada F_21288240 ENTEL</t>
  </si>
  <si>
    <t>Remuneracion+E18:O18P18F18:O18A18:O18</t>
  </si>
  <si>
    <t>MVL_EMP2604021228124181545480</t>
  </si>
  <si>
    <t xml:space="preserve">Entel Renta mensual </t>
  </si>
  <si>
    <t>F_21277428 ENTEL FIJO</t>
  </si>
  <si>
    <t>F_21277428 ENTEL</t>
  </si>
  <si>
    <t xml:space="preserve">Linea de credito </t>
  </si>
  <si>
    <t>MVL_EMP2603271832124068925700</t>
  </si>
  <si>
    <t>App-traspaso A: Marcela Oyarzo</t>
  </si>
  <si>
    <t>Remuneracion</t>
  </si>
  <si>
    <t>Marcela Oyarzo n° 13</t>
  </si>
  <si>
    <t>Pago: Mercadopago*colom</t>
  </si>
  <si>
    <t>Restaurant</t>
  </si>
  <si>
    <t>almuerzo marzo 26</t>
  </si>
  <si>
    <t>Adelanto de remuneracion</t>
  </si>
  <si>
    <t>2303 24492166</t>
  </si>
  <si>
    <t>2026-08-27_Movimientos_Tarjeta_5645_SERVICIOS DE INGENIERIA IVAN ANDRES ARRIAGADA BASCUNAN EIRL (4).pdf</t>
  </si>
  <si>
    <t>Pago: Entel Oneclick Es</t>
  </si>
  <si>
    <t>ENTEL SERVICIOS +P6+A6:O6</t>
  </si>
  <si>
    <t>F_21222454 ENTEL</t>
  </si>
  <si>
    <t>Pago Servicio En Internet</t>
  </si>
  <si>
    <t>AUTOPASE</t>
  </si>
  <si>
    <t>B COMPROBANTE E</t>
  </si>
  <si>
    <t>Documento_18584658k_1774645470</t>
  </si>
  <si>
    <t>Servicios fijos</t>
  </si>
  <si>
    <t>B COMPROBANTE</t>
  </si>
  <si>
    <t>F_53267436 ENTEL</t>
  </si>
  <si>
    <t>Traspaso De: Igor Ivan Venegas</t>
  </si>
  <si>
    <t>Devolucion hotel</t>
  </si>
  <si>
    <t>Pago: Ibis Budget Provi</t>
  </si>
  <si>
    <t>Hotel</t>
  </si>
  <si>
    <t>F 25325 inversiones providencia</t>
  </si>
  <si>
    <t>Comision Mensual Plan Ctacte Pyme marzo</t>
  </si>
  <si>
    <t>Comision mensual plan cta cte pyme marzo</t>
  </si>
  <si>
    <t>Cartola_Zoron_cte_mar_26</t>
  </si>
  <si>
    <t>Boleta de honorario - remuneración</t>
  </si>
  <si>
    <t>Juan Castro N° 14</t>
  </si>
  <si>
    <t>Abono Liquidación Deposito A Plazo 071015009831</t>
  </si>
  <si>
    <t>Imposiciones</t>
  </si>
  <si>
    <t>Servicio mensual</t>
  </si>
  <si>
    <t>Abono Por Captaciones</t>
  </si>
  <si>
    <t>Rescate deposito a plazo</t>
  </si>
  <si>
    <t>Abono Liquidación Deposito A Plazo 071014993897</t>
  </si>
  <si>
    <t>Cuota prestamo Gloria Bascuñan</t>
  </si>
  <si>
    <t>Cuota prestamo Ivan Arriagada</t>
  </si>
  <si>
    <t>B N 51B347</t>
  </si>
  <si>
    <t>App-traspaso A: Zoron Eirl</t>
  </si>
  <si>
    <t>B N481EF13</t>
  </si>
  <si>
    <t>Tarjeta credito bci</t>
  </si>
  <si>
    <t>B N9446-B94EA944A7C0</t>
  </si>
  <si>
    <t>Traspaso A: Ivan Arriagada Bascunan</t>
  </si>
  <si>
    <t>Cuota banco falabella</t>
  </si>
  <si>
    <t>B NF66A09</t>
  </si>
  <si>
    <t>Cuota computador</t>
  </si>
  <si>
    <t>Cuota iphone</t>
  </si>
  <si>
    <t>LINEA DE CREDITO UTILIZADA BANCO CHILE</t>
  </si>
  <si>
    <t>B C1F83FDEA</t>
  </si>
  <si>
    <t>Entel movil</t>
  </si>
  <si>
    <t>Entel_52816793</t>
  </si>
  <si>
    <t>Traspaso De: Ivan Arriagada Bascu??n</t>
  </si>
  <si>
    <t>Recopilacion de deposito a plazo</t>
  </si>
  <si>
    <t>Cartola_Zoron_cte_mar_26.pdf</t>
  </si>
  <si>
    <t>0503 00000000</t>
  </si>
  <si>
    <t>MONTO CANCELADO - Internacional</t>
  </si>
  <si>
    <t xml:space="preserve"> Ivan Arriagada Bascunan</t>
  </si>
  <si>
    <t>Cuota computador y telefono</t>
  </si>
  <si>
    <t>CT NMBT_5ae52f66-7967-4658-a093-bff796f66a09</t>
  </si>
  <si>
    <t xml:space="preserve"> Ivan Arriagada Contreras</t>
  </si>
  <si>
    <t>Cuota credito</t>
  </si>
  <si>
    <t>CT NMBT_17fe71f3-803f-4c5f-9b3f</t>
  </si>
  <si>
    <t>remuneracion</t>
  </si>
  <si>
    <t>Pago Automatico Linea Sobregiro</t>
  </si>
  <si>
    <t>Abono Liquidación Deposito A Plazo 071014993997</t>
  </si>
  <si>
    <t>Marcela Oyarzo n° 12</t>
  </si>
  <si>
    <t>Cartola_Zoron_cte_feb_26</t>
  </si>
  <si>
    <t>App-traspaso De: Ivan Andres Arriagada Bascunan</t>
  </si>
  <si>
    <t>Linea de crédito</t>
  </si>
  <si>
    <t>2302 24492166</t>
  </si>
  <si>
    <t>2026-08-27_Movimientos_Tarjeta_5645_SERVICIOS DE INGENIERIA IVAN ANDRES ARRIAGADA BASCUNAN EIRL (3).pdf</t>
  </si>
  <si>
    <t>PAGO:NOTARIA VILLALOBO</t>
  </si>
  <si>
    <t>Pago: Mercadopago*estac</t>
  </si>
  <si>
    <t>estacionamiento</t>
  </si>
  <si>
    <t>B  N00900790082</t>
  </si>
  <si>
    <t>2302 24492166053100001106945</t>
  </si>
  <si>
    <t>Febrero 26 Internacional_5645_zoron.xlsx</t>
  </si>
  <si>
    <t>2026-03-02_Movimientos_Tarjeta_5645_SERVICIOS DE INGENIERIA IVAN ANDRES ARRIAGADA BASCUNAN EIRL (1).pdf</t>
  </si>
  <si>
    <t>APP-TRASPASO A:Agencia Eudora spa</t>
  </si>
  <si>
    <t>1902 00000000</t>
  </si>
  <si>
    <t>Febrero 26 Nacional_5645_zoron.xlsx</t>
  </si>
  <si>
    <t>2026-03-02_Movimientos_Tarjeta_5645_SERVICIOS DE INGENIERIA IVAN ANDRES ARRIAGADA BASCUNAN EIRL (3).pdf</t>
  </si>
  <si>
    <t>EXP0097720260246893815</t>
  </si>
  <si>
    <t>Documento_18584658k_1774646445</t>
  </si>
  <si>
    <t xml:space="preserve">Comision Mensual Plan Ctacte Pyme	
</t>
  </si>
  <si>
    <t>Comision Mensual Plan Ctacte Pyme Febrero</t>
  </si>
  <si>
    <t>Boleta 12 juan castro</t>
  </si>
  <si>
    <t>mvl_emp2602121117123420421210</t>
  </si>
  <si>
    <t>Mantencion tarjeta de credito</t>
  </si>
  <si>
    <t>CT2602121117123420421210</t>
  </si>
  <si>
    <t>mvl_emp2602121116123420172210</t>
  </si>
  <si>
    <t>CT2602121116123420172210</t>
  </si>
  <si>
    <t>mvl_emp2602121119123420293230</t>
  </si>
  <si>
    <t>Interes rotatio</t>
  </si>
  <si>
    <t>CT2602121119123420293230</t>
  </si>
  <si>
    <t>Pago Instituciones Previsionales</t>
  </si>
  <si>
    <t>MBT_540750b7-a23e-4ec9-b458-de2fb9a8a5f7</t>
  </si>
  <si>
    <t xml:space="preserve">App-traspaso A: Marcelo Caicea Layana	
</t>
  </si>
  <si>
    <t>IMPUESTOS MENSUAL</t>
  </si>
  <si>
    <t>IVA ENERO 2026</t>
  </si>
  <si>
    <t>CT NMBT_540750b7-a23e-4ec9-b458-de2fb9a8a5f7</t>
  </si>
  <si>
    <t>Traspaso De: Ivan Arriagada Bascunan</t>
  </si>
  <si>
    <t>Traspaso De: Ivan Andres Arriagada Bascunan</t>
  </si>
  <si>
    <t>1102 25048594</t>
  </si>
  <si>
    <t>GOOGLE PLAY YOUTUBE LAS CONDES</t>
  </si>
  <si>
    <t>sociedad comercial de repuestos</t>
  </si>
  <si>
    <t>B Falabella</t>
  </si>
  <si>
    <t>Bateria del auto</t>
  </si>
  <si>
    <t>WV0693510101</t>
  </si>
  <si>
    <t xml:space="preserve">Zoron Eirl	
</t>
  </si>
  <si>
    <t>DEPOSITO A PLAZO</t>
  </si>
  <si>
    <t>COMPROBANTE</t>
  </si>
  <si>
    <t>W20952287069</t>
  </si>
  <si>
    <t>0502 00970130</t>
  </si>
  <si>
    <t>0402 00163110</t>
  </si>
  <si>
    <t>MONTO CANCELADO</t>
  </si>
  <si>
    <t>MVL_EMP260203155712</t>
  </si>
  <si>
    <t xml:space="preserve"> Gloria Bascunan	
</t>
  </si>
  <si>
    <t>Cuota prestamo</t>
  </si>
  <si>
    <t>RECHAZADO</t>
  </si>
  <si>
    <t>Zoron Eirl</t>
  </si>
  <si>
    <t>Alimentacion</t>
  </si>
  <si>
    <t>SIN DOCUMENTO</t>
  </si>
  <si>
    <t>Recaudacion Y Pagos De Servicios   *</t>
  </si>
  <si>
    <t>CHILEXPRES</t>
  </si>
  <si>
    <t>F_13054810_Chilexpres</t>
  </si>
  <si>
    <t>App Traspaso A:Ivan Arriagada Basc</t>
  </si>
  <si>
    <t>App Traspaso A:Ivan Arriagada Cont</t>
  </si>
  <si>
    <t>Interés Línea Sobregiro Cuenta Corriente</t>
  </si>
  <si>
    <t>Cartola_Zoron_cte_ene_26</t>
  </si>
  <si>
    <t xml:space="preserve"> Marcela Oyarzo</t>
  </si>
  <si>
    <t>Boleta 11</t>
  </si>
  <si>
    <t>Agencia Eudora spa</t>
  </si>
  <si>
    <t>Pagina web e identidad corporativa</t>
  </si>
  <si>
    <t>Factura</t>
  </si>
  <si>
    <t>TREN CENTRAL WEBP</t>
  </si>
  <si>
    <t>Traslado</t>
  </si>
  <si>
    <t>CP10566457</t>
  </si>
  <si>
    <t>PASAJEBUS</t>
  </si>
  <si>
    <t>CP N83719984399</t>
  </si>
  <si>
    <t>CP N17969152582c26aa32</t>
  </si>
  <si>
    <t>Recichile spa</t>
  </si>
  <si>
    <t>Retiro de residuos</t>
  </si>
  <si>
    <t>280124011346027100115535859</t>
  </si>
  <si>
    <r>
      <rPr>
        <rFont val="Inter"/>
        <color rgb="FF1155CC"/>
        <sz val="11.0"/>
        <u/>
      </rPr>
      <t>ZOOM.COM</t>
    </r>
    <r>
      <rPr>
        <rFont val="Inter"/>
        <color theme="1"/>
        <sz val="11.0"/>
      </rPr>
      <t xml:space="preserve"> 888-799-96  - Internacional</t>
    </r>
  </si>
  <si>
    <r>
      <rPr>
        <rFont val="Inter"/>
        <color rgb="FF1155CC"/>
        <sz val="11.0"/>
        <u/>
      </rPr>
      <t>ZOOM.COM</t>
    </r>
    <r>
      <rPr>
        <rFont val="Inter"/>
        <color theme="1"/>
        <sz val="11.0"/>
      </rPr>
      <t xml:space="preserve"> 888-799-96</t>
    </r>
  </si>
  <si>
    <t>Cartola_Zoron_credito_ene_26.pdf</t>
  </si>
  <si>
    <t>2026-08-27_Movimientos_Tarjeta_5645_SERVICIOS DE INGENIERIA IVAN ANDRES ARRIAGADA BASCUNAN EIRL (2).pdf</t>
  </si>
  <si>
    <t>Pago Servicio mi Banconexion</t>
  </si>
  <si>
    <t xml:space="preserve">Pago Internet </t>
  </si>
  <si>
    <t>F_21011282 ENTEL.pdf</t>
  </si>
  <si>
    <t xml:space="preserve">Pago telefono </t>
  </si>
  <si>
    <t>F_52728854 ENTEL.pdfk</t>
  </si>
  <si>
    <t>Pago: Notaria Villalobo</t>
  </si>
  <si>
    <t>SERVICIOS NOTARIALES</t>
  </si>
  <si>
    <t>BH N109491</t>
  </si>
  <si>
    <t>2201 24492166 022100001494711</t>
  </si>
  <si>
    <t>OPENAI*CHATGPT SUB</t>
  </si>
  <si>
    <t>Pago: Chilexpress El Be</t>
  </si>
  <si>
    <t>Disco Duro proyecto</t>
  </si>
  <si>
    <t>F 13031284.pdf</t>
  </si>
  <si>
    <t>Pago: jumbo El Belloto</t>
  </si>
  <si>
    <t>Cuadernos, factura extraviada</t>
  </si>
  <si>
    <t>extraviada</t>
  </si>
  <si>
    <t>2001 00000000</t>
  </si>
  <si>
    <t>Enero 26 Nacional_5645_zoron.xlsx</t>
  </si>
  <si>
    <t>2026-03-02_Movimientos_Tarjeta_5645_SERVICIOS DE INGENIERIA IVAN ANDRES ARRIAGADA BASCUNAN EIRL (2).pdf</t>
  </si>
  <si>
    <t>App-traspaso A: Agencia Eudora Spa</t>
  </si>
  <si>
    <t>SERVICIOS GRAFICOS</t>
  </si>
  <si>
    <t>F 24 EUDORA</t>
  </si>
  <si>
    <t>App Taspaso  A:Juan Castro</t>
  </si>
  <si>
    <t>Boleta 12 Juan Castro.pdfk</t>
  </si>
  <si>
    <t>Pago A N Spa</t>
  </si>
  <si>
    <t>Almuerzo</t>
  </si>
  <si>
    <t>B 906.pdf</t>
  </si>
  <si>
    <t>App Traspaso A:Ivan Arriagada</t>
  </si>
  <si>
    <t>Línea de credito banco Chile Ivan Arriagada</t>
  </si>
  <si>
    <t>Cobertura linea de cred bchile.pdfk</t>
  </si>
  <si>
    <t>Línea de crédito banco falabella Iván Arriagada</t>
  </si>
  <si>
    <t>Faltaban 10000 para cub.pdf</t>
  </si>
  <si>
    <t>Cobertura linea de cred.pdfk</t>
  </si>
  <si>
    <t>Prestamo berna</t>
  </si>
  <si>
    <t>Cobertura prestmos.pdfk</t>
  </si>
  <si>
    <t xml:space="preserve">App Traspaso a Ivan Contreras </t>
  </si>
  <si>
    <t>Pago de prestamo</t>
  </si>
  <si>
    <t>Pago Copec 40130</t>
  </si>
  <si>
    <t>B 3467880.pdf</t>
  </si>
  <si>
    <t xml:space="preserve">Pagp Quilpue los Carrera </t>
  </si>
  <si>
    <t>Lavado de auto</t>
  </si>
  <si>
    <t>B 485837.pdf</t>
  </si>
  <si>
    <t>Pago Marina viña Mma</t>
  </si>
  <si>
    <t>Estacionamiento</t>
  </si>
  <si>
    <t>B 340066634.pdf</t>
  </si>
  <si>
    <t>45 y  46</t>
  </si>
  <si>
    <t xml:space="preserve">Pago Proveedores 0608050000 </t>
  </si>
  <si>
    <t>F-45 BIENES NACIONALES.pdfk</t>
  </si>
  <si>
    <t>F-46 BIENES NACIONALES.pdf</t>
  </si>
  <si>
    <t>Pago Servicio en Mi Banconexión</t>
  </si>
  <si>
    <t xml:space="preserve">Pago internet </t>
  </si>
  <si>
    <t>F 21011282 ENTEL DIC.pdfk</t>
  </si>
  <si>
    <t>https://drive.google.com/file/d/1XGC-1TCDGH7LLD7zM7a0Jl5QXGCRueP3/view?usp=drive_link|</t>
  </si>
  <si>
    <t>Pago: I.munici.de Valpa</t>
  </si>
  <si>
    <t>Pago Patente municipal</t>
  </si>
  <si>
    <t xml:space="preserve"> Pago patente municipal primer semestre 2026.pdf</t>
  </si>
  <si>
    <t xml:space="preserve">Pago contadores </t>
  </si>
  <si>
    <t>F 20919388 ENTEL NOV.pdfk</t>
  </si>
  <si>
    <t>F 20864104 ENTEL NOV.pdf</t>
  </si>
  <si>
    <t>App-traspaso A: Maria Francisca</t>
  </si>
  <si>
    <t xml:space="preserve">Pago Sueldo </t>
  </si>
  <si>
    <t>Maria Francisca Campano N°183.pdf</t>
  </si>
  <si>
    <t>App-traspaso A: Estefania Diaz</t>
  </si>
  <si>
    <t>Estefanía Díaz N° 70.pdfk</t>
  </si>
  <si>
    <t>App-traspaso A: Marcelo Caicea</t>
  </si>
  <si>
    <t>IVA (402.597) y previred (126.960)</t>
  </si>
  <si>
    <t>Impuestos+previred dic.pdf</t>
  </si>
  <si>
    <t xml:space="preserve">Pago Peajes </t>
  </si>
  <si>
    <t>B 1769466189.pdf</t>
  </si>
  <si>
    <t>Inversión</t>
  </si>
  <si>
    <t xml:space="preserve">Pago Instituciones Previsionales
</t>
  </si>
  <si>
    <t>IMPOSICIONES IVAN</t>
  </si>
  <si>
    <t>CP N8263112524</t>
  </si>
  <si>
    <t>MBT_cca168b2-9a71-4f3c-9b50-799af9472ff0</t>
  </si>
  <si>
    <t>Servicio contable</t>
  </si>
  <si>
    <t>CT NMBT_cca168b2-9a71-4f3c-9b50-799af9472ff0</t>
  </si>
  <si>
    <t>CT2602110904123405387240</t>
  </si>
  <si>
    <t>CT2602110901123404189790</t>
  </si>
  <si>
    <t>1201 40189059</t>
  </si>
  <si>
    <t>SODIMAC SA</t>
  </si>
  <si>
    <t xml:space="preserve">B Chile </t>
  </si>
  <si>
    <t xml:space="preserve">Banco chile personal </t>
  </si>
  <si>
    <t>F 144220357 sodimac sa.pdf</t>
  </si>
  <si>
    <t>MVL_EMP260107085512</t>
  </si>
  <si>
    <t>App-traspaso A: Ivan Arriagada</t>
  </si>
  <si>
    <t>Pago Linea de crédito</t>
  </si>
  <si>
    <t>Comprobante</t>
  </si>
  <si>
    <t xml:space="preserve">41 y 48 </t>
  </si>
  <si>
    <t>Pago: Proveedores 0616021524</t>
  </si>
  <si>
    <t>Pago de servicios</t>
  </si>
  <si>
    <t>F41-HOSPITAL LITUECHE (5-6).pdf</t>
  </si>
  <si>
    <t>F-48 HOSPITAL LITUECHE (6-6).pdfk</t>
  </si>
  <si>
    <t>Envio de bateria portatil</t>
  </si>
  <si>
    <t>chilexpres sa 13010111 diciembre.pdfk</t>
  </si>
  <si>
    <t xml:space="preserve">Cargo Por Captaciones	
</t>
  </si>
  <si>
    <t>Pago: Easy Quilpue</t>
  </si>
  <si>
    <t>articulos oficina</t>
  </si>
  <si>
    <t>F 37023908 easy retail.pdfk</t>
  </si>
  <si>
    <t>Pago: Jumbo El Belloto</t>
  </si>
  <si>
    <t>F 25909458 Censosud retail sa.pdf</t>
  </si>
  <si>
    <t>Juan Castro N° 10.pdfk</t>
  </si>
  <si>
    <t>MVL_EMP260105120912</t>
  </si>
  <si>
    <t>App-traspaso De: Ivan Arriagada Bascuñán</t>
  </si>
  <si>
    <t>Transferencia</t>
  </si>
  <si>
    <t xml:space="preserve">App-traspaso A: Ivan Arriagada Contreras </t>
  </si>
  <si>
    <t>Crédito Iván Arriagada Contreras (4/30)</t>
  </si>
  <si>
    <t>Disco duro</t>
  </si>
  <si>
    <t>Discoduro_copiapo_9900.jpeg</t>
  </si>
  <si>
    <t>Entrega disco duro</t>
  </si>
  <si>
    <t>Unimarc_diciembre_30480.jpegk</t>
  </si>
  <si>
    <t>App-traspaso A: Angel Pizarro</t>
  </si>
  <si>
    <t xml:space="preserve">Pago Angel pizarro Sociologo </t>
  </si>
  <si>
    <t>Angel Pizarro N°2.pdfk</t>
  </si>
  <si>
    <t>App-traspaso A: Christel Reyes Vives</t>
  </si>
  <si>
    <t>Pago Christel Reyes Trabajadora Social</t>
  </si>
  <si>
    <t>Christel Reyes N°97.pdfk</t>
  </si>
  <si>
    <t>MVL_EMP260102101812</t>
  </si>
  <si>
    <t>Lineadecredito_diciembre_480000.pdf</t>
  </si>
  <si>
    <t>App-traspaso De: Ivan Arriagada</t>
  </si>
  <si>
    <t>Lineadecredito_diciembre_500000.pdf</t>
  </si>
  <si>
    <t>IvanArriagada_Remuneracion_Diciembre.pdf</t>
  </si>
  <si>
    <t>Pago: Proveedores 0608050000</t>
  </si>
  <si>
    <t>F-40-MINSEGPRES.pdfk</t>
  </si>
  <si>
    <t>Peajes</t>
  </si>
  <si>
    <t>Rutapass_22478465_Diciembre.pdfk</t>
  </si>
  <si>
    <t xml:space="preserve">Pago Gastos Fijos </t>
  </si>
  <si>
    <t>F 52511868 ENTEL DICIEMBRE.pdfk</t>
  </si>
  <si>
    <t>APP-TRASPASO A:Eric Fernandez Nune</t>
  </si>
  <si>
    <t xml:space="preserve">Pago factura por Servicios </t>
  </si>
  <si>
    <t>F 236 ERICK FERNANDEZ DICIEMBRE.pdf</t>
  </si>
  <si>
    <t>APP-TRASPASO A:Martina Ulloa</t>
  </si>
  <si>
    <t>Pago servicio</t>
  </si>
  <si>
    <t>Martina Ulloa N°9.pdf</t>
  </si>
  <si>
    <t>PAGO:PROVEEDORES 0608050000</t>
  </si>
  <si>
    <t xml:space="preserve">Pago Proveedores </t>
  </si>
  <si>
    <t>F-38-SUBSECRETARIA DEL MINISTERIO DE JUSTICIA.pdfk</t>
  </si>
  <si>
    <t>PAGO:JUMBO EL BELLOTO</t>
  </si>
  <si>
    <t>Compra mouse Empresa</t>
  </si>
  <si>
    <t>F 25782634 cencosud retail.pdf</t>
  </si>
  <si>
    <t>MVL_EMP2512180946122595250000</t>
  </si>
  <si>
    <t>APP-TRASPASO A:Contigo Consultores</t>
  </si>
  <si>
    <t xml:space="preserve">Pago de Sevicios Contables </t>
  </si>
  <si>
    <t>comprobante</t>
  </si>
  <si>
    <t>APP-TRASPASO A:Marcelo Caicea Laya</t>
  </si>
  <si>
    <t>Pago IVA+A129:O129</t>
  </si>
  <si>
    <t>APP-TRASPASO A:Valeria dorador</t>
  </si>
  <si>
    <t>Licencia TIME STAMP</t>
  </si>
  <si>
    <t>Timestamp_diciembre_5300 (1).jpeg</t>
  </si>
  <si>
    <t>APP-TRASPASO A:Guiliana cortes</t>
  </si>
  <si>
    <t>Timestamp_diciembre_5300.jpegk</t>
  </si>
  <si>
    <t>PAGO:JINXI LIMITADA</t>
  </si>
  <si>
    <t>Pilas</t>
  </si>
  <si>
    <t>Xinjiltda_diciembre_2000.pdfk</t>
  </si>
  <si>
    <t>APP-TRASPASO A:Katalina Fernandez</t>
  </si>
  <si>
    <t>Almuerzo, peajes y abarrotes</t>
  </si>
  <si>
    <t>Katalinafernande_diciembre_5530.jpegk</t>
  </si>
  <si>
    <t>Peaje_diciembre_ 1550 (4).jpegk</t>
  </si>
  <si>
    <t>Peaje_diciembre_1550 (3).jpegk</t>
  </si>
  <si>
    <t>Katalina fernanez_diciembre_30000.pdfk</t>
  </si>
  <si>
    <t>PAGO:ESTRELLA DEL PACI</t>
  </si>
  <si>
    <t>Estrella del pacifico_Diciembre_6490.pdf</t>
  </si>
  <si>
    <t>PAGO:CASA COCINA REGAL</t>
  </si>
  <si>
    <t>CASAcocinaregal_Diciembre_1980.pdf</t>
  </si>
  <si>
    <t>Casapatrona_diciembre_21450.jpegk</t>
  </si>
  <si>
    <t>Copec_diciembre_4890.jpegk</t>
  </si>
  <si>
    <t>Peaje_diciembre_1550.jpegk</t>
  </si>
  <si>
    <t>Peaje_diciembre_1550 (2).jpgg</t>
  </si>
  <si>
    <t>APP-TRASPASO A:Juan Castro</t>
  </si>
  <si>
    <t>Credenciales</t>
  </si>
  <si>
    <t>Credenciales_Diciembre_15000.jpegk</t>
  </si>
  <si>
    <t>PAGO:HIP LIDER EL BELL</t>
  </si>
  <si>
    <t>Hiperlider_diciembre_16520.pdfk</t>
  </si>
  <si>
    <t>PAGO:FABRICACION DE MA</t>
  </si>
  <si>
    <t>Fabmasas_DICIEMBRE_3460.pdf</t>
  </si>
  <si>
    <t>PAGO:MERCADOPAGO*JARAN</t>
  </si>
  <si>
    <t>Jaran_Diciembre_11900.pdfk</t>
  </si>
  <si>
    <t>PAGO:EMPANADAS LA CABA</t>
  </si>
  <si>
    <t>Cabaña empanadas.pdf</t>
  </si>
  <si>
    <t>Pago Remuneracion Juan</t>
  </si>
  <si>
    <t>Juan Castro N° 10.pdf</t>
  </si>
  <si>
    <t>Pago previsionales Ivan</t>
  </si>
  <si>
    <t>PAGO:PC FACTORY INTERN</t>
  </si>
  <si>
    <t>Factura pcfactory</t>
  </si>
  <si>
    <t>Factura pc factory 14 atacama.pdfk</t>
  </si>
  <si>
    <t>PAGO:PROVEEDORES 0616021524</t>
  </si>
  <si>
    <t>F-35-HOSPITAL LITUECHE (4-6).pdfk</t>
  </si>
  <si>
    <t>F34- CNED.pdfk</t>
  </si>
  <si>
    <t>APP-TRASPASO A:Ivan Arriagada Basc</t>
  </si>
  <si>
    <t>Remunercion Ivan</t>
  </si>
  <si>
    <t>Pago Internet</t>
  </si>
  <si>
    <t>F 20838779 ENTEL NOV.pdf</t>
  </si>
  <si>
    <t>PAGO:MASAVAL SAGR</t>
  </si>
  <si>
    <t>Boleta de fiel cumplimiento GOMAXXA</t>
  </si>
  <si>
    <t>FCC 14 atacama.pdfk</t>
  </si>
  <si>
    <t>Garantia FCC.pdf</t>
  </si>
  <si>
    <t>Manual de Marca</t>
  </si>
  <si>
    <t>F 9 EUDORA 78195433.pdfk</t>
  </si>
  <si>
    <t>INTERESES SOBREGIRO EN CUENTA CTE.</t>
  </si>
  <si>
    <t>Cobro interes Cuenta C</t>
  </si>
  <si>
    <t>APP-TRASPASO A:Gloria Bascunan</t>
  </si>
  <si>
    <t>Pago credito Gloria Bascuñan</t>
  </si>
  <si>
    <t>Dev_Gloria_bascunan.pdf</t>
  </si>
  <si>
    <t>Pago G.F telefono Empresa</t>
  </si>
  <si>
    <t>F 52353096 ENTEL.pdf</t>
  </si>
  <si>
    <t>Ruta pass Nov.pdfk</t>
  </si>
  <si>
    <t>Entel fijo Nov.pdf</t>
  </si>
  <si>
    <t>APP-TRASPASO A:Ivan Arriagada Cont</t>
  </si>
  <si>
    <t>Credito IAC cuota 1,2,3.pdf</t>
  </si>
  <si>
    <t>Pago Linea de credito</t>
  </si>
  <si>
    <t>Linea credito 25-11.pdf</t>
  </si>
  <si>
    <t>Remuneracion Juan</t>
  </si>
  <si>
    <t>Juan Castro N°9.pdf</t>
  </si>
  <si>
    <t>PAGO:PROVEEDORES 0690403005</t>
  </si>
  <si>
    <t>F33-MUNICIPALIDAD DE COQUIMBO.pdf</t>
  </si>
  <si>
    <t>COMISION MENSUAL PLAN CTACTE PYME</t>
  </si>
  <si>
    <t>Comision_bchile_NOV.pdfk</t>
  </si>
  <si>
    <t>Estefania Díaz</t>
  </si>
  <si>
    <t>Remuneracion Estefania</t>
  </si>
  <si>
    <t>Estefanía Díaz N° 69.pdf</t>
  </si>
  <si>
    <t>Marcelo Caicea Laya</t>
  </si>
  <si>
    <t xml:space="preserve">COMPROBANTE </t>
  </si>
  <si>
    <t>Contigo Consultores</t>
  </si>
  <si>
    <t>Clinica los carrera</t>
  </si>
  <si>
    <t>closcarrera.pdf</t>
  </si>
  <si>
    <t>Manual de marca</t>
  </si>
  <si>
    <t>F-5-EUDORA-07-11-2025.pdf</t>
  </si>
  <si>
    <t>TRASPASO IVAN ARRIAGADA</t>
  </si>
  <si>
    <t>Remuneración ivan</t>
  </si>
  <si>
    <t>BANCO CHILE LINEA DE CRÉDITO</t>
  </si>
  <si>
    <t>Pago linea de credito BChile Noviembre.pdf</t>
  </si>
  <si>
    <t>Licencias</t>
  </si>
  <si>
    <t>Cht gpt, licencia zoom x 2 y comision banco tarjeta de crédito</t>
  </si>
  <si>
    <t>Comprobante Pago Tarjeta TC BChile Noviembre (2).pdf</t>
  </si>
  <si>
    <t>ENTEL PCS TELECOMUNICACIONES S.A.</t>
  </si>
  <si>
    <t>internet - telefono</t>
  </si>
  <si>
    <t>F-20764256-entel pcs.pdf</t>
  </si>
  <si>
    <t>F-20721044-ENTEL.pdf</t>
  </si>
  <si>
    <t>Entel Fijo</t>
  </si>
  <si>
    <t>F-51897855-20-09-2025.pdf</t>
  </si>
  <si>
    <t>María Francisca Campano</t>
  </si>
  <si>
    <t>Relatoria</t>
  </si>
  <si>
    <t>Maria Francisca Campano N°180.pdfk</t>
  </si>
  <si>
    <t>Pago proveedores</t>
  </si>
  <si>
    <t>Pago litueche</t>
  </si>
  <si>
    <t>F27-HOSPITAL LITUECHE(3-6).pdf</t>
  </si>
  <si>
    <t>CYF gastronomia</t>
  </si>
  <si>
    <t>Coffe break</t>
  </si>
  <si>
    <t>F 183 CYF 03-11-2025.pdf</t>
  </si>
  <si>
    <t>Deporte visual producciones spa</t>
  </si>
  <si>
    <t>Servicio audiovisual</t>
  </si>
  <si>
    <t>F-68-DEPORTEVISUAL-03-11-2025.pdf</t>
  </si>
  <si>
    <t>TESORERIA GENERAL DE LA REPUBLICA</t>
  </si>
  <si>
    <t>F29-SS ECONOMIA Y EMT.pdf</t>
  </si>
  <si>
    <t>Estefanía Díaz</t>
  </si>
  <si>
    <t>3 proyectos juntos</t>
  </si>
  <si>
    <t>Estefanía Díaz N°68.pdfk</t>
  </si>
  <si>
    <t>F28-SUBSECRETARIA PARA LAS FUERZAS ARMADAS.pdf</t>
  </si>
  <si>
    <t>Ignacio Puig</t>
  </si>
  <si>
    <t>SERVICIOS AUDIOVISUALES</t>
  </si>
  <si>
    <t>Boleta 54 Ignacio Puig.pdf</t>
  </si>
  <si>
    <t>COMISION MENSUAL CUENTA CTE</t>
  </si>
  <si>
    <t>MANTENCION MENSUAL</t>
  </si>
  <si>
    <t>Cartola Zoron Octubre.pdfk</t>
  </si>
  <si>
    <t>CONTIGO CONSULTORES</t>
  </si>
  <si>
    <t>IMPUESTOS SEPTIEMBRE</t>
  </si>
  <si>
    <t>Iva septiembre.pdf</t>
  </si>
  <si>
    <t>RUTA PASS</t>
  </si>
  <si>
    <t>PEAJES</t>
  </si>
  <si>
    <t>19418116.pdf</t>
  </si>
  <si>
    <t>ENTEL FIJO (SON DOS FACTURAS)</t>
  </si>
  <si>
    <t>F-20698619-ENTEL-23-09-2025.pdf</t>
  </si>
  <si>
    <t>ENTEL MOVIL</t>
  </si>
  <si>
    <t>GOOGLE PLAY YOUTUBE GO LAS CONDES</t>
  </si>
  <si>
    <t>SUSCRIPCION GOOGLE</t>
  </si>
  <si>
    <t>3353-3248-0403-06097 (2).jpg</t>
  </si>
  <si>
    <t>3353-3248-0403-06097.jpg</t>
  </si>
  <si>
    <t>REMUNERACION LUCAS OLMOS</t>
  </si>
  <si>
    <t>Lucas Olmos N°5.pdf</t>
  </si>
  <si>
    <t>REMUNERACION IVAN ARRIAGADA</t>
  </si>
  <si>
    <t>Cartola zoron septiembre.pdf</t>
  </si>
  <si>
    <t>I MUNICIPALIDAD VALPARASO</t>
  </si>
  <si>
    <t>PATENTE MUNICIPAL SEGUNDO SEMESTRE</t>
  </si>
  <si>
    <t>11605017.pdf</t>
  </si>
  <si>
    <t>F-19, F-22</t>
  </si>
  <si>
    <t>PAGO F 19 Y 22</t>
  </si>
  <si>
    <t>F19-HOSPITAL LITUECHE (1-6).pdf</t>
  </si>
  <si>
    <t>18323207.pdf</t>
  </si>
  <si>
    <t>REMUNERCION IVAN ARRIAGADA</t>
  </si>
  <si>
    <t>PAGO F21</t>
  </si>
  <si>
    <t>F21 - FUCOA.pdf</t>
  </si>
  <si>
    <t>IMPUESTOS</t>
  </si>
  <si>
    <t>CONTADORES</t>
  </si>
  <si>
    <t>PAGO F18</t>
  </si>
  <si>
    <t>F18- BIENESTAR MOP.pdf</t>
  </si>
  <si>
    <t>BANCO CHILE</t>
  </si>
  <si>
    <t>COMISION CUENTA PYME</t>
  </si>
  <si>
    <t xml:space="preserve">TRASLAD DE PRUEBAS </t>
  </si>
  <si>
    <t>INTERNET FIJO</t>
  </si>
  <si>
    <t>ENTEL FIJO</t>
  </si>
  <si>
    <t>F-20542410-ENTEL.pdf</t>
  </si>
  <si>
    <t>ENTEL MÓVIL</t>
  </si>
  <si>
    <t>F-51897855-ENTEL-20-09-2025.pdf</t>
  </si>
  <si>
    <t>Lucas Olmos N°4.pdf</t>
  </si>
  <si>
    <t>3353-3248-0403-06097 (1).jpg</t>
  </si>
  <si>
    <t>IVAN ARRIAGADA CONTRERAS</t>
  </si>
  <si>
    <t>Cartola zoron Agosto.pdf</t>
  </si>
  <si>
    <t>REMUNERACIÓN ENZO BASSAURE</t>
  </si>
  <si>
    <t>REMUNERACION ENZO BASSAURE</t>
  </si>
  <si>
    <t>Enzo Bassaure N° 34.pdf</t>
  </si>
  <si>
    <t>RESTAURANT EL NATURISTA</t>
  </si>
  <si>
    <t>ALMUERZO</t>
  </si>
  <si>
    <t>METRO LA MONEDA</t>
  </si>
  <si>
    <t>METRO</t>
  </si>
  <si>
    <t>PASAJE BUS</t>
  </si>
  <si>
    <t>PASAJE EN BUS</t>
  </si>
  <si>
    <t>KUPOS SPA</t>
  </si>
  <si>
    <t>INSCRIPCION DE BUSES</t>
  </si>
  <si>
    <t>MINIMARKET LA YAY</t>
  </si>
  <si>
    <t>ARTICULOS DE LIBRERIA</t>
  </si>
  <si>
    <t>COMISION BANCO CHILE</t>
  </si>
  <si>
    <t>COMISIÓN BANCO CHILE</t>
  </si>
  <si>
    <t>SABA AEROPUERTO CHILE SPA</t>
  </si>
  <si>
    <t>PEAJE</t>
  </si>
  <si>
    <t>12873777.pdf</t>
  </si>
  <si>
    <t>EFE VALPO V25</t>
  </si>
  <si>
    <t>PASAJ METRO</t>
  </si>
  <si>
    <t>BIAGGINI GESTION E INVERSION</t>
  </si>
  <si>
    <t>BAÑO</t>
  </si>
  <si>
    <t>1040642.pdf</t>
  </si>
  <si>
    <t>ESTACIONAMIENTO</t>
  </si>
  <si>
    <t>1040492.pdf</t>
  </si>
  <si>
    <t>QUARKS INGENIERIA Y SERVICIOS LTDA</t>
  </si>
  <si>
    <t>COMBUSTIBLE</t>
  </si>
  <si>
    <t>3752213.pdf</t>
  </si>
  <si>
    <t>ALIMENTOS</t>
  </si>
  <si>
    <t>F 24111822-Cencosud, retail S.A.-20-08-2025.pdf</t>
  </si>
  <si>
    <t>3163847050.pdf</t>
  </si>
  <si>
    <t>ESTABLECIMIENTO BARILOCHE SA</t>
  </si>
  <si>
    <t>6825102.pdf</t>
  </si>
  <si>
    <t>CENTRAL PARKING SYSTEM SA</t>
  </si>
  <si>
    <t>152878036.pdf</t>
  </si>
  <si>
    <t>PEAJE LATERAL</t>
  </si>
  <si>
    <t>COMERCIAL SERPAN SPA</t>
  </si>
  <si>
    <t>B Falabella credito</t>
  </si>
  <si>
    <t>ALQUILER DE VEHICULOS</t>
  </si>
  <si>
    <t>F-1690851-ECONORENT-20-08-2025.pdf</t>
  </si>
  <si>
    <t>CENTRO PUERTO</t>
  </si>
  <si>
    <t>12528546711.pdf</t>
  </si>
  <si>
    <t>AUTOPISTA DE ANTOFAGASTA</t>
  </si>
  <si>
    <t>240-9323.pdf</t>
  </si>
  <si>
    <t>ARCOS DORADOS RESTAURANTES DE CHILE SPA</t>
  </si>
  <si>
    <t>153129663.pdf</t>
  </si>
  <si>
    <t>3161497148.pdf</t>
  </si>
  <si>
    <t>REMUNERACIÓN CARLOS GALVEZ</t>
  </si>
  <si>
    <t>HONORARIOS CARLOS GALVEZ</t>
  </si>
  <si>
    <t>Carlos Galvez N°184.pdf</t>
  </si>
  <si>
    <t>GROSSO PIZZA EIRL</t>
  </si>
  <si>
    <t>NO DISPONIBLE</t>
  </si>
  <si>
    <t>PAGOS DE SERVICIOS</t>
  </si>
  <si>
    <t>I MUNICIPALIDAD VIÑA DEL MAR</t>
  </si>
  <si>
    <t>PATENTE MUNICIPAL</t>
  </si>
  <si>
    <t>28939.pdf</t>
  </si>
  <si>
    <t>COMISION DE COMPRAS EN EXTERIOR</t>
  </si>
  <si>
    <t>COMISIÓN</t>
  </si>
  <si>
    <t>FALABELLA RETAIL SA</t>
  </si>
  <si>
    <t>PENDRIVE</t>
  </si>
  <si>
    <t>F 5356898-Falabella retail S.A.-13-08-2025.pdf</t>
  </si>
  <si>
    <t>EASY</t>
  </si>
  <si>
    <t>CONTENEDOR DE RESIDUOS</t>
  </si>
  <si>
    <t>F-35826554-EASY-12-08-2025.pdf</t>
  </si>
  <si>
    <t>INVERSION CTA CONSORCIO</t>
  </si>
  <si>
    <t xml:space="preserve">PLASTICOS DE INGENIERIA </t>
  </si>
  <si>
    <t>BASUREROS</t>
  </si>
  <si>
    <t>F 719568-Plastigen-11-08-2025.pdf</t>
  </si>
  <si>
    <t>REMUNERACIÓN IVAN ARRIAGADA</t>
  </si>
  <si>
    <t>PAGOS FINTOC</t>
  </si>
  <si>
    <t>NO RECOOCIDO</t>
  </si>
  <si>
    <t>JETSMART</t>
  </si>
  <si>
    <t>PASAJE AEREO ANTOFAGASTA</t>
  </si>
  <si>
    <t>PAGO DE CUENTA (CONFIRMAR CUAL)</t>
  </si>
  <si>
    <t>F-51943038-ENTEL-24-06-2025.pdf</t>
  </si>
  <si>
    <t>CONTABILIDAD MENSUAL AGOSTO</t>
  </si>
  <si>
    <t>SERVICIOS FIJOS</t>
  </si>
  <si>
    <t>F-20461630-ENTEL-23-07-2025.pdf</t>
  </si>
  <si>
    <t>SOCIEDAD CONCESIONARIA LITORAL CENTRAL S.A.</t>
  </si>
  <si>
    <t>3451.pdf</t>
  </si>
  <si>
    <t>SOCIEDAD CONSECIONARIA LITORAL CENTRAL S.A.</t>
  </si>
  <si>
    <t>3301.pdf</t>
  </si>
  <si>
    <t>IWO SPA</t>
  </si>
  <si>
    <t>COMIDA</t>
  </si>
  <si>
    <t>2470.pdf</t>
  </si>
  <si>
    <t>SERVICIOS MOVILES</t>
  </si>
  <si>
    <t>PERSONAL COMPUTEC FACTORY S.A.</t>
  </si>
  <si>
    <t>NOTEBOOK</t>
  </si>
  <si>
    <t>F 222-9592 PC Factory, 20-07-2025.pdf</t>
  </si>
  <si>
    <t>ENVIO DOCUMENTOS</t>
  </si>
  <si>
    <t>F 12725601-Chile, Express-19-07-25.pdf</t>
  </si>
  <si>
    <t>HORTA Y HORTA LTDA</t>
  </si>
  <si>
    <t>3297365.pdf</t>
  </si>
  <si>
    <t>HOJAS DE OFICIO</t>
  </si>
  <si>
    <t>F2 4742103 Cencosud retail S.a.-17-07-2025.pdf</t>
  </si>
  <si>
    <t>CAJA DE ENVIO</t>
  </si>
  <si>
    <t>F1272-4801-Chile Express-17 07-2025.pdf</t>
  </si>
  <si>
    <t>FARMACIA AHUMADA SPA</t>
  </si>
  <si>
    <t>TERMOMETROS</t>
  </si>
  <si>
    <t>337945933.pdf</t>
  </si>
  <si>
    <t>AUTOPISTA DE LOS ANDES SA</t>
  </si>
  <si>
    <t>14680410.pdf</t>
  </si>
  <si>
    <t>AUTOPISTA ACONCAGUA</t>
  </si>
  <si>
    <t>12337.pdf</t>
  </si>
  <si>
    <t>SOCIEDAD CONCESIONARIA RUTA DEL ELQUI SA</t>
  </si>
  <si>
    <t>5772043.pdf</t>
  </si>
  <si>
    <t>EDUARDO LEIVA ESTACION DE SERVICIOS EIRL</t>
  </si>
  <si>
    <t>5262621.pdf</t>
  </si>
  <si>
    <t>5771787.pdf</t>
  </si>
  <si>
    <t>SANDRO SCHIAPPACASSE SA</t>
  </si>
  <si>
    <t>3395890.pdf</t>
  </si>
  <si>
    <t>GIRO CAJERO AUTOMATICO</t>
  </si>
  <si>
    <t>EFECTIVO PARA PEAJES</t>
  </si>
  <si>
    <t>NO SE CUENTA COMO INGRESO</t>
  </si>
  <si>
    <t>012317.pdf</t>
  </si>
  <si>
    <t>ADMINISTRADORA DE VENTAS AL DETALLE</t>
  </si>
  <si>
    <t>573490025.pdf</t>
  </si>
  <si>
    <t>6320237.pdf</t>
  </si>
  <si>
    <t>5784577.pdf</t>
  </si>
  <si>
    <t>3109645979.pdf</t>
  </si>
  <si>
    <t>ACTIVIDADES DE RESTAURANTE Y DE SERVICIO MOVIL DE COMIDAS RAUL ANTONIO</t>
  </si>
  <si>
    <t>18810.pdf</t>
  </si>
  <si>
    <t>573820999.pdf</t>
  </si>
  <si>
    <t>HIPERMERCADOS TOTTUS SA</t>
  </si>
  <si>
    <t>COFFE BREAK</t>
  </si>
  <si>
    <t>10726855.pdf</t>
  </si>
  <si>
    <t>RCDRZDNTQA</t>
  </si>
  <si>
    <t>AIRBNB</t>
  </si>
  <si>
    <t>HOSPEDAJE</t>
  </si>
  <si>
    <t>RCDRZDNTQA.pdf</t>
  </si>
  <si>
    <t>IVAN ARRIAGADA BASCUÑAN</t>
  </si>
  <si>
    <t>INVERSION IVAN ARRIAGADA BASCUÑAN</t>
  </si>
  <si>
    <t>COMERCIAL ROHEN SPA</t>
  </si>
  <si>
    <t>313832.pdf</t>
  </si>
  <si>
    <t>NOTARIA FUENZALIDA</t>
  </si>
  <si>
    <t>CONTRATO NOTARIAL</t>
  </si>
  <si>
    <t>78837.pdf</t>
  </si>
  <si>
    <t>5762773.pdf</t>
  </si>
  <si>
    <t>3382685.pdf</t>
  </si>
  <si>
    <t>12319.pdf</t>
  </si>
  <si>
    <t>1446751.pdf</t>
  </si>
  <si>
    <t>12118.pdf</t>
  </si>
  <si>
    <t>723161.pdf</t>
  </si>
  <si>
    <t>DESAYUNO</t>
  </si>
  <si>
    <t>570355793.pdf</t>
  </si>
  <si>
    <t>5773276.pdf</t>
  </si>
  <si>
    <t>567249822.pdf</t>
  </si>
  <si>
    <t>570259287.pdf</t>
  </si>
  <si>
    <t>147343943.pdf</t>
  </si>
  <si>
    <t>5841921.pdf</t>
  </si>
  <si>
    <t>756698382.pdf</t>
  </si>
  <si>
    <t>6072261.pdf</t>
  </si>
  <si>
    <t>F7 8205453 LIDER 26-06-2025.pdf</t>
  </si>
  <si>
    <t xml:space="preserve"> RCYX4KCH89 · 23 de junio de 2025</t>
  </si>
  <si>
    <t>RCYX4KCH89.pdf</t>
  </si>
  <si>
    <t>SIMPLIFICAMOS</t>
  </si>
  <si>
    <t>Patente Municipal</t>
  </si>
  <si>
    <t>F-152-SIMPLIFICA-24-06-2025.pdf</t>
  </si>
  <si>
    <t>OF VIRTUAL</t>
  </si>
  <si>
    <t>F-151-SIMPLIFICA-24-06-2025.pdf</t>
  </si>
  <si>
    <t>MERCADOLIBRE CHILE LTDA</t>
  </si>
  <si>
    <t>PROYECTOR</t>
  </si>
  <si>
    <t>F-8872319-MERCADOLIBRE-24-06-2025</t>
  </si>
  <si>
    <t>Innovacion y tecnologia empresarial item limitada</t>
  </si>
  <si>
    <t>Mica de telefono</t>
  </si>
  <si>
    <t>F-1201523-APPLE-24-06-2025.pdf</t>
  </si>
  <si>
    <t>MERY Y COMPAÑÍA LTDA</t>
  </si>
  <si>
    <t>CARCASA</t>
  </si>
  <si>
    <t>CELULAR</t>
  </si>
  <si>
    <t>F-51210489-ENTELPCS-24-06-2025.pdf</t>
  </si>
  <si>
    <t>HAUMEL</t>
  </si>
  <si>
    <t>DOMINIO Y HOSTING</t>
  </si>
  <si>
    <t>Cartola Falabella Junio.pdf</t>
  </si>
  <si>
    <t>AUDITORIA E IMPUESTOS</t>
  </si>
  <si>
    <t>Cartola zoron junio.pdf</t>
  </si>
  <si>
    <t>Cartola Falabella Mayo.pdf</t>
  </si>
  <si>
    <t>SII</t>
  </si>
  <si>
    <t>DEVOLUCIÓN DE IMPUESTOS</t>
  </si>
  <si>
    <t>Cartola zoron mayo.pdf</t>
  </si>
  <si>
    <t>ELECTRONICA RETAIL LIMITADA</t>
  </si>
  <si>
    <t>AUDIFONOS</t>
  </si>
  <si>
    <t>14680410.pdfk</t>
  </si>
  <si>
    <t>Juan Castro n° 13+A32:O33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</si>
</sst>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&quot;$&quot;#,##0"/>
    <numFmt numFmtId="166" formatCode="_-&quot;$&quot;* #,##0_-;_-&quot;$&quot;* \-#,##0_-;_-&quot;$&quot;* &quot;-&quot;??_-;_-@"/>
    <numFmt numFmtId="167" formatCode="d-m-yyyy"/>
    <numFmt numFmtId="168" formatCode="dd-mm-yyyy"/>
    <numFmt numFmtId="169" formatCode="0.0000%"/>
    <numFmt numFmtId="170" formatCode="mmmm d yyyy"/>
    <numFmt numFmtId="171" formatCode="d\-m\-yyyy"/>
    <numFmt numFmtId="172" formatCode="dd\-mm\-yyyy"/>
  </numFmts>
  <fonts count="58">
    <font>
      <sz val="11.0"/>
      <color theme="1"/>
      <name val="Verdana"/>
      <scheme val="minor"/>
    </font>
    <font>
      <sz val="11.0"/>
      <color rgb="FF000000"/>
      <name val="Verdana"/>
    </font>
    <font>
      <b/>
      <sz val="11.0"/>
      <color rgb="FF000000"/>
      <name val="Verdana"/>
    </font>
    <font>
      <b/>
      <sz val="11.0"/>
      <color theme="1"/>
      <name val="Inter"/>
    </font>
    <font>
      <b/>
      <sz val="11.0"/>
      <color rgb="FF002060"/>
      <name val="Calibri"/>
    </font>
    <font>
      <color theme="1"/>
      <name val="Verdana"/>
      <scheme val="minor"/>
    </font>
    <font>
      <b/>
      <i/>
      <sz val="11.0"/>
      <color theme="1"/>
      <name val="Verdana"/>
    </font>
    <font>
      <b/>
      <color theme="1"/>
      <name val="Verdana"/>
      <scheme val="minor"/>
    </font>
    <font>
      <sz val="11.0"/>
      <color rgb="FFFFFFFF"/>
      <name val="Verdana"/>
    </font>
    <font>
      <sz val="11.0"/>
      <color theme="1"/>
      <name val="Inter"/>
    </font>
    <font>
      <b/>
      <sz val="11.0"/>
      <color rgb="FF000000"/>
      <name val="Calibri"/>
    </font>
    <font>
      <sz val="11.0"/>
      <color theme="1"/>
      <name val="Verdana"/>
    </font>
    <font>
      <u/>
      <sz val="11.0"/>
      <color rgb="FF0000FF"/>
      <name val="Inter"/>
    </font>
    <font>
      <u/>
      <color rgb="FF0000FF"/>
    </font>
    <font>
      <u/>
      <color rgb="FF0000FF"/>
    </font>
    <font>
      <u/>
      <color theme="1"/>
      <name val="Verdana"/>
      <scheme val="minor"/>
    </font>
    <font>
      <color rgb="FFFFFFFF"/>
      <name val="Verdana"/>
      <scheme val="minor"/>
    </font>
    <font/>
    <font>
      <u/>
      <sz val="11.0"/>
      <color rgb="FF434343"/>
      <name val="Inter"/>
    </font>
    <font>
      <u/>
      <sz val="11.0"/>
      <color rgb="FF0000FF"/>
      <name val="Inter"/>
    </font>
    <font>
      <u/>
      <sz val="11.0"/>
      <color theme="1"/>
      <name val="Inter"/>
    </font>
    <font>
      <u/>
      <sz val="11.0"/>
      <color theme="1"/>
      <name val="Inter"/>
    </font>
    <font>
      <u/>
      <color rgb="FF0000FF"/>
      <name val="Inter"/>
    </font>
    <font>
      <sz val="11.0"/>
      <color rgb="FFFFFFFF"/>
      <name val="Inter"/>
    </font>
    <font>
      <u/>
      <sz val="11.0"/>
      <color rgb="FF0000FF"/>
      <name val="Inter"/>
    </font>
    <font>
      <u/>
      <color rgb="FF0000FF"/>
      <name val="Roboto"/>
    </font>
    <font>
      <u/>
      <sz val="11.0"/>
      <color rgb="FF0000FF"/>
      <name val="Inter"/>
    </font>
    <font>
      <sz val="11.0"/>
      <color rgb="FF000000"/>
      <name val="Inter"/>
    </font>
    <font>
      <u/>
      <sz val="11.0"/>
      <color theme="10"/>
      <name val="Inter"/>
    </font>
    <font>
      <u/>
      <sz val="11.0"/>
      <color rgb="FF0000FF"/>
      <name val="Inter"/>
    </font>
    <font>
      <u/>
      <sz val="11.0"/>
      <color rgb="FF0000FF"/>
      <name val="Inter"/>
    </font>
    <font>
      <u/>
      <sz val="11.0"/>
      <color theme="10"/>
      <name val="Inter"/>
    </font>
    <font>
      <b/>
      <sz val="11.0"/>
      <color rgb="FF000000"/>
      <name val="Inter"/>
    </font>
    <font>
      <sz val="11.0"/>
      <color theme="10"/>
      <name val="Inter"/>
    </font>
    <font>
      <u/>
      <sz val="11.0"/>
      <color theme="1"/>
      <name val="Inter"/>
    </font>
    <font>
      <u/>
      <sz val="11.0"/>
      <color rgb="FF4B5563"/>
      <name val="Inter"/>
    </font>
    <font>
      <u/>
      <sz val="11.0"/>
      <color theme="1"/>
      <name val="Inter"/>
    </font>
    <font>
      <u/>
      <sz val="11.0"/>
      <color theme="1"/>
      <name val="Inter"/>
    </font>
    <font>
      <u/>
      <sz val="11.0"/>
      <color theme="1"/>
      <name val="Inter"/>
    </font>
    <font>
      <u/>
      <sz val="11.0"/>
      <color theme="1"/>
      <name val="Inter"/>
    </font>
    <font>
      <u/>
      <sz val="11.0"/>
      <color theme="1"/>
      <name val="Inter"/>
    </font>
    <font>
      <u/>
      <sz val="11.0"/>
      <color theme="1"/>
      <name val="Inter"/>
    </font>
    <font>
      <u/>
      <sz val="11.0"/>
      <color theme="1"/>
      <name val="Inter"/>
    </font>
    <font>
      <u/>
      <sz val="11.0"/>
      <color rgb="FF0000FF"/>
      <name val="Inter"/>
    </font>
    <font>
      <u/>
      <sz val="11.0"/>
      <color rgb="FF0000FF"/>
      <name val="Inter"/>
    </font>
    <font>
      <u/>
      <sz val="11.0"/>
      <color rgb="FF0000FF"/>
      <name val="Inter"/>
    </font>
    <font>
      <u/>
      <sz val="11.0"/>
      <color theme="10"/>
      <name val="Inter"/>
    </font>
    <font>
      <u/>
      <sz val="11.0"/>
      <color rgb="FF0000FF"/>
      <name val="Inter"/>
    </font>
    <font>
      <u/>
      <sz val="11.0"/>
      <color theme="1"/>
      <name val="Inter"/>
    </font>
    <font>
      <u/>
      <sz val="11.0"/>
      <color theme="1"/>
      <name val="Inter"/>
    </font>
    <font>
      <u/>
      <sz val="11.0"/>
      <color rgb="FF000000"/>
      <name val="Inter"/>
    </font>
    <font>
      <u/>
      <sz val="11.0"/>
      <color theme="1"/>
      <name val="Inter"/>
    </font>
    <font>
      <u/>
      <sz val="11.0"/>
      <color theme="1"/>
      <name val="Inter"/>
    </font>
    <font>
      <u/>
      <sz val="11.0"/>
      <color theme="1"/>
      <name val="Inter"/>
    </font>
    <font>
      <u/>
      <sz val="11.0"/>
      <color rgb="FF434343"/>
      <name val="Inter"/>
    </font>
    <font>
      <u/>
      <sz val="11.0"/>
      <color theme="1"/>
      <name val="Inter"/>
    </font>
    <font>
      <u/>
      <sz val="11.0"/>
      <color rgb="FF000000"/>
      <name val="Inter"/>
    </font>
    <font>
      <color theme="1"/>
      <name val="Inter"/>
    </font>
  </fonts>
  <fills count="2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D400"/>
        <bgColor rgb="FFFFD400"/>
      </patternFill>
    </fill>
    <fill>
      <patternFill patternType="solid">
        <fgColor rgb="FF92D050"/>
        <bgColor rgb="FF92D050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BC2E6"/>
        <bgColor rgb="FF9BC2E6"/>
      </patternFill>
    </fill>
    <fill>
      <patternFill patternType="solid">
        <fgColor rgb="FFFFCE3C"/>
        <bgColor rgb="FFFFCE3C"/>
      </patternFill>
    </fill>
    <fill>
      <patternFill patternType="solid">
        <fgColor rgb="FFFFC6C6"/>
        <bgColor rgb="FFFFC6C6"/>
      </patternFill>
    </fill>
    <fill>
      <patternFill patternType="solid">
        <fgColor rgb="FFCFD4DA"/>
        <bgColor rgb="FFCFD4DA"/>
      </patternFill>
    </fill>
    <fill>
      <patternFill patternType="solid">
        <fgColor rgb="FFC189F7"/>
        <bgColor rgb="FFC189F7"/>
      </patternFill>
    </fill>
    <fill>
      <patternFill patternType="solid">
        <fgColor rgb="FFFFFFFF"/>
        <bgColor rgb="FFFFFFFF"/>
      </patternFill>
    </fill>
    <fill>
      <patternFill patternType="solid">
        <fgColor rgb="FF41536D"/>
        <bgColor rgb="FF41536D"/>
      </patternFill>
    </fill>
    <fill>
      <patternFill patternType="solid">
        <fgColor rgb="FF63A4F7"/>
        <bgColor rgb="FF63A4F7"/>
      </patternFill>
    </fill>
    <fill>
      <patternFill patternType="solid">
        <fgColor rgb="FFB1BAC5"/>
        <bgColor rgb="FFB1BAC5"/>
      </patternFill>
    </fill>
    <fill>
      <patternFill patternType="solid">
        <fgColor rgb="FFF3F2ED"/>
        <bgColor rgb="FFF3F2ED"/>
      </patternFill>
    </fill>
    <fill>
      <patternFill patternType="solid">
        <fgColor rgb="FF9CA3AF"/>
        <bgColor rgb="FF9CA3AF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C6EFCE"/>
        <bgColor rgb="FFC6EFCE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readingOrder="0" shrinkToFit="0" vertical="bottom" wrapText="0"/>
    </xf>
    <xf borderId="2" fillId="4" fontId="4" numFmtId="0" xfId="0" applyAlignment="1" applyBorder="1" applyFill="1" applyFont="1">
      <alignment horizontal="center" readingOrder="0" shrinkToFit="0" vertical="bottom" wrapText="0"/>
    </xf>
    <xf borderId="3" fillId="4" fontId="4" numFmtId="0" xfId="0" applyAlignment="1" applyBorder="1" applyFill="1" applyFont="1">
      <alignment horizontal="center" readingOrder="0" shrinkToFit="0" vertical="bottom" wrapText="0"/>
    </xf>
    <xf borderId="3" fillId="5" fontId="2" numFmtId="0" xfId="0" applyAlignment="1" applyBorder="1" applyFill="1" applyFont="1">
      <alignment readingOrder="0" shrinkToFit="0" vertical="bottom" wrapText="0"/>
    </xf>
    <xf borderId="3" fillId="6" fontId="2" numFmtId="0" xfId="0" applyAlignment="1" applyBorder="1" applyFill="1" applyFont="1">
      <alignment readingOrder="0" shrinkToFit="0" vertical="bottom" wrapText="0"/>
    </xf>
    <xf borderId="1" fillId="6" fontId="2" numFmtId="0" xfId="0" applyAlignment="1" applyBorder="1" applyFill="1" applyFont="1">
      <alignment readingOrder="0" shrinkToFit="0" vertical="bottom" wrapText="0"/>
    </xf>
    <xf borderId="1" fillId="7" fontId="2" numFmtId="0" xfId="0" applyAlignment="1" applyBorder="1" applyFill="1" applyFont="1">
      <alignment readingOrder="0" shrinkToFit="0" vertical="bottom" wrapText="0"/>
    </xf>
    <xf borderId="1" fillId="8" fontId="2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ill="1" applyFont="1">
      <alignment horizontal="left" readingOrder="0" shrinkToFit="0" vertical="center" wrapText="0"/>
    </xf>
    <xf borderId="4" fillId="8" fontId="2" numFmtId="0" xfId="0" applyAlignment="1" applyBorder="1" applyFill="1" applyFont="1">
      <alignment readingOrder="0" shrinkToFit="0" vertical="bottom" wrapText="0"/>
    </xf>
    <xf borderId="1" fillId="9" fontId="2" numFmtId="0" xfId="0" applyAlignment="1" applyBorder="1" applyFill="1" applyFont="1">
      <alignment readingOrder="0" shrinkToFit="0" vertical="bottom" wrapText="0"/>
    </xf>
    <xf borderId="0" fillId="0" fontId="5" numFmtId="0" xfId="0" applyFont="1"/>
    <xf borderId="1" fillId="4" fontId="2" numFmtId="0" xfId="0" applyAlignment="1" applyBorder="1" applyFill="1" applyFont="1">
      <alignment readingOrder="0" shrinkToFit="0" vertical="bottom" wrapText="0"/>
    </xf>
    <xf borderId="1" fillId="10" fontId="2" numFmtId="0" xfId="0" applyAlignment="1" applyBorder="1" applyFill="1" applyFont="1">
      <alignment readingOrder="0" shrinkToFit="0" vertical="bottom" wrapText="0"/>
    </xf>
    <xf borderId="1" fillId="11" fontId="2" numFmtId="0" xfId="0" applyAlignment="1" applyBorder="1" applyFill="1" applyFont="1">
      <alignment readingOrder="0" shrinkToFit="0" vertical="bottom" wrapText="0"/>
    </xf>
    <xf borderId="0" fillId="12" fontId="6" numFmtId="0" xfId="0" applyAlignment="1" applyFill="1" applyFont="1">
      <alignment horizontal="center" readingOrder="0" vertical="bottom"/>
    </xf>
    <xf borderId="1" fillId="13" fontId="2" numFmtId="0" xfId="0" applyAlignment="1" applyBorder="1" applyFill="1" applyFont="1">
      <alignment readingOrder="0" shrinkToFit="0" vertical="bottom" wrapText="0"/>
    </xf>
    <xf borderId="0" fillId="0" fontId="7" numFmtId="0" xfId="0" applyFont="1"/>
    <xf borderId="5" fillId="14" fontId="3" numFmtId="0" xfId="0" applyBorder="1" applyFill="1" applyFont="1"/>
    <xf borderId="0" fillId="0" fontId="5" numFmtId="3" xfId="0" applyFont="1" applyNumberFormat="1"/>
    <xf borderId="0" fillId="15" fontId="8" numFmtId="0" xfId="0" applyAlignment="1" applyFill="1" applyFont="1">
      <alignment horizontal="center" readingOrder="0" shrinkToFit="0" vertical="center" wrapText="1"/>
    </xf>
    <xf borderId="1" fillId="16" fontId="1" numFmtId="0" xfId="0" applyAlignment="1" applyBorder="1" applyFill="1" applyFont="1">
      <alignment readingOrder="0" shrinkToFit="0" vertical="bottom" wrapText="0"/>
    </xf>
    <xf borderId="1" fillId="14" fontId="9" numFmtId="0" xfId="0" applyAlignment="1" applyBorder="1" applyFill="1" applyFont="1">
      <alignment readingOrder="0" shrinkToFit="0" vertical="center" wrapText="1"/>
    </xf>
    <xf borderId="0" fillId="0" fontId="5" numFmtId="166" xfId="0" applyFont="1" applyNumberFormat="1"/>
    <xf borderId="1" fillId="17" fontId="1" numFmtId="0" xfId="0" applyAlignment="1" applyBorder="1" applyFill="1" applyFont="1">
      <alignment readingOrder="0" shrinkToFit="0" vertical="bottom" wrapText="0"/>
    </xf>
    <xf borderId="1" fillId="14" fontId="9" numFmtId="0" xfId="0" applyAlignment="1" applyBorder="1" applyFill="1" applyFont="1">
      <alignment readingOrder="0" shrinkToFit="0" vertical="center" wrapText="0"/>
    </xf>
    <xf borderId="1" fillId="14" fontId="9" numFmtId="0" xfId="0" applyAlignment="1" applyBorder="1" applyFill="1" applyFont="1">
      <alignment horizontal="left" readingOrder="0" shrinkToFit="0" vertical="center" wrapText="1"/>
    </xf>
    <xf borderId="1" fillId="18" fontId="1" numFmtId="0" xfId="0" applyAlignment="1" applyBorder="1" applyFill="1" applyFont="1">
      <alignment readingOrder="0" shrinkToFit="0" vertical="bottom" wrapText="0"/>
    </xf>
    <xf borderId="1" fillId="14" fontId="9" numFmtId="164" xfId="0" applyAlignment="1" applyBorder="1" applyFill="1" applyFont="1" applyNumberFormat="1">
      <alignment readingOrder="0" shrinkToFit="0" vertical="center" wrapText="1"/>
    </xf>
    <xf borderId="6" fillId="18" fontId="10" numFmtId="167" xfId="0" applyAlignment="1" applyBorder="1" applyFill="1" applyFont="1" applyNumberFormat="1">
      <alignment horizontal="center" readingOrder="0" shrinkToFit="0" vertical="bottom" wrapText="0"/>
    </xf>
    <xf borderId="1" fillId="18" fontId="10" numFmtId="168" xfId="0" applyAlignment="1" applyBorder="1" applyFill="1" applyFont="1" applyNumberFormat="1">
      <alignment horizontal="center" readingOrder="0" shrinkToFit="0" vertical="bottom" wrapText="0"/>
    </xf>
    <xf borderId="0" fillId="0" fontId="11" numFmtId="166" xfId="0" applyAlignment="1" applyFont="1" applyNumberFormat="1">
      <alignment horizontal="right" vertical="bottom"/>
    </xf>
    <xf borderId="7" fillId="18" fontId="10" numFmtId="168" xfId="0" applyAlignment="1" applyBorder="1" applyFill="1" applyFont="1" applyNumberFormat="1">
      <alignment horizontal="center" readingOrder="0" shrinkToFit="0" vertical="bottom" wrapText="0"/>
    </xf>
    <xf borderId="1" fillId="14" fontId="9" numFmtId="165" xfId="0" applyAlignment="1" applyBorder="1" applyFill="1" applyFont="1" applyNumberFormat="1">
      <alignment readingOrder="0" shrinkToFit="0" vertical="center" wrapText="1"/>
    </xf>
    <xf borderId="0" fillId="0" fontId="5" numFmtId="10" xfId="0" applyFont="1" applyNumberFormat="1"/>
    <xf borderId="6" fillId="18" fontId="10" numFmtId="168" xfId="0" applyAlignment="1" applyBorder="1" applyFill="1" applyFont="1" applyNumberFormat="1">
      <alignment horizontal="center" readingOrder="0" shrinkToFit="0" vertical="bottom" wrapText="0"/>
    </xf>
    <xf borderId="1" fillId="14" fontId="9" numFmtId="165" xfId="0" applyAlignment="1" applyBorder="1" applyFill="1" applyFont="1" applyNumberFormat="1">
      <alignment readingOrder="0" shrinkToFit="0" vertical="center" wrapText="0"/>
    </xf>
    <xf borderId="1" fillId="18" fontId="1" numFmtId="168" xfId="0" applyAlignment="1" applyBorder="1" applyFill="1" applyFont="1" applyNumberFormat="1">
      <alignment horizontal="right" readingOrder="0" shrinkToFit="0" vertical="bottom" wrapText="0"/>
    </xf>
    <xf borderId="0" fillId="0" fontId="11" numFmtId="10" xfId="0" applyAlignment="1" applyFont="1" applyNumberFormat="1">
      <alignment horizontal="right" vertical="bottom"/>
    </xf>
    <xf borderId="1" fillId="18" fontId="1" numFmtId="168" xfId="0" applyAlignment="1" applyBorder="1" applyFill="1" applyFont="1" applyNumberFormat="1">
      <alignment horizontal="right" readingOrder="0" shrinkToFit="0" vertical="bottom" wrapText="0"/>
    </xf>
    <xf borderId="1" fillId="18" fontId="1" numFmtId="167" xfId="0" applyAlignment="1" applyBorder="1" applyFill="1" applyFont="1" applyNumberFormat="1">
      <alignment horizontal="right" readingOrder="0" shrinkToFit="0" vertical="bottom" wrapText="0"/>
    </xf>
    <xf borderId="0" fillId="18" fontId="1" numFmtId="0" xfId="0" applyAlignment="1" applyFill="1" applyFont="1">
      <alignment shrinkToFit="0" vertical="bottom" wrapText="0"/>
    </xf>
    <xf borderId="1" fillId="14" fontId="9" numFmtId="165" xfId="0" applyAlignment="1" applyBorder="1" applyFill="1" applyFont="1" applyNumberFormat="1">
      <alignment shrinkToFit="0" vertical="center" wrapText="0"/>
    </xf>
    <xf borderId="1" fillId="14" fontId="9" numFmtId="0" xfId="0" applyAlignment="1" applyBorder="1" applyFill="1" applyFont="1">
      <alignment horizontal="left" readingOrder="0" shrinkToFit="0" vertical="center" wrapText="0"/>
    </xf>
    <xf borderId="1" fillId="18" fontId="10" numFmtId="168" xfId="0" applyAlignment="1" applyBorder="1" applyFill="1" applyFont="1" applyNumberFormat="1">
      <alignment horizontal="right" readingOrder="0" shrinkToFit="0" vertical="bottom" wrapText="0"/>
    </xf>
    <xf borderId="1" fillId="14" fontId="9" numFmtId="3" xfId="0" applyAlignment="1" applyBorder="1" applyFill="1" applyFont="1" applyNumberFormat="1">
      <alignment readingOrder="0" shrinkToFit="0" vertical="center" wrapText="0"/>
    </xf>
    <xf borderId="8" fillId="18" fontId="10" numFmtId="168" xfId="0" applyAlignment="1" applyBorder="1" applyFill="1" applyFont="1" applyNumberFormat="1">
      <alignment horizontal="right" readingOrder="0" shrinkToFit="0" vertical="bottom" wrapText="0"/>
    </xf>
    <xf borderId="0" fillId="18" fontId="10" numFmtId="168" xfId="0" applyAlignment="1" applyFill="1" applyFont="1" applyNumberFormat="1">
      <alignment horizontal="right" readingOrder="0" shrinkToFit="0" vertical="bottom" wrapText="0"/>
    </xf>
    <xf borderId="1" fillId="18" fontId="1" numFmtId="165" xfId="0" applyAlignment="1" applyBorder="1" applyFill="1" applyFont="1" applyNumberFormat="1">
      <alignment readingOrder="0"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1" fillId="14" fontId="12" numFmtId="0" xfId="0" applyAlignment="1" applyBorder="1" applyFill="1" applyFont="1">
      <alignment horizontal="left" readingOrder="0" shrinkToFit="0" vertical="center" wrapText="0"/>
    </xf>
    <xf borderId="1" fillId="14" fontId="9" numFmtId="0" xfId="0" applyAlignment="1" applyBorder="1" applyFill="1" applyFont="1">
      <alignment horizontal="left" shrinkToFit="0" vertical="center" wrapText="0"/>
    </xf>
    <xf borderId="0" fillId="0" fontId="13" numFmtId="0" xfId="0" applyFont="1"/>
    <xf borderId="5" fillId="14" fontId="9" numFmtId="0" xfId="0" applyBorder="1" applyFill="1" applyFont="1"/>
    <xf borderId="0" fillId="0" fontId="14" numFmtId="3" xfId="0" applyFont="1" applyNumberFormat="1"/>
    <xf borderId="1" fillId="14" fontId="9" numFmtId="0" xfId="0" applyAlignment="1" applyBorder="1" applyFill="1" applyFont="1">
      <alignment shrinkToFit="0" vertical="center" wrapText="0"/>
    </xf>
    <xf borderId="0" fillId="0" fontId="1" numFmtId="165" xfId="0" applyAlignment="1" applyFont="1" applyNumberFormat="1">
      <alignment shrinkToFit="0" vertical="bottom" wrapText="0"/>
    </xf>
    <xf borderId="1" fillId="14" fontId="9" numFmtId="0" xfId="0" applyAlignment="1" applyBorder="1" applyFill="1" applyFont="1">
      <alignment horizontal="left" shrinkToFit="0" vertical="center" wrapText="1"/>
    </xf>
    <xf borderId="0" fillId="0" fontId="5" numFmtId="165" xfId="0" applyFont="1" applyNumberFormat="1"/>
    <xf borderId="1" fillId="19" fontId="2" numFmtId="0" xfId="0" applyAlignment="1" applyBorder="1" applyFill="1" applyFont="1">
      <alignment readingOrder="0" shrinkToFit="0" vertical="bottom" wrapText="0"/>
    </xf>
    <xf borderId="0" fillId="0" fontId="15" numFmtId="3" xfId="0" applyFont="1" applyNumberFormat="1"/>
    <xf borderId="1" fillId="19" fontId="2" numFmtId="165" xfId="0" applyAlignment="1" applyBorder="1" applyFill="1" applyFont="1" applyNumberForma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5" numFmtId="169" xfId="0" applyAlignment="1" applyFont="1" applyNumberFormat="1">
      <alignment readingOrder="0"/>
    </xf>
    <xf borderId="0" fillId="19" fontId="1" numFmtId="0" xfId="0" applyAlignment="1" applyFill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165" xfId="0" applyAlignment="1" applyBorder="1" applyFont="1" applyNumberForma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20" fontId="1" numFmtId="165" xfId="0" applyAlignment="1" applyBorder="1" applyFill="1" applyFont="1" applyNumberFormat="1">
      <alignment readingOrder="0" shrinkToFit="0" vertical="bottom" wrapText="0"/>
    </xf>
    <xf borderId="1" fillId="14" fontId="9" numFmtId="165" xfId="0" applyAlignment="1" applyBorder="1" applyFill="1" applyFont="1" applyNumberFormat="1">
      <alignment vertical="center"/>
    </xf>
    <xf borderId="0" fillId="3" fontId="2" numFmtId="0" xfId="0" applyAlignment="1" applyFill="1" applyFont="1">
      <alignment readingOrder="0" shrinkToFit="0" vertical="bottom" wrapText="0"/>
    </xf>
    <xf borderId="9" fillId="3" fontId="2" numFmtId="0" xfId="0" applyAlignment="1" applyBorder="1" applyFill="1" applyFont="1">
      <alignment readingOrder="0" shrinkToFit="0" vertical="bottom" wrapText="0"/>
    </xf>
    <xf borderId="3" fillId="3" fontId="2" numFmtId="0" xfId="0" applyAlignment="1" applyBorder="1" applyFill="1" applyFont="1">
      <alignment readingOrder="0" shrinkToFit="0" vertical="bottom" wrapText="0"/>
    </xf>
    <xf borderId="8" fillId="3" fontId="2" numFmtId="0" xfId="0" applyAlignment="1" applyBorder="1" applyFill="1" applyFont="1">
      <alignment readingOrder="0" shrinkToFit="0" vertical="bottom" wrapText="0"/>
    </xf>
    <xf borderId="0" fillId="19" fontId="2" numFmtId="0" xfId="0" applyAlignment="1" applyFill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14" fontId="1" numFmtId="165" xfId="0" applyAlignment="1" applyBorder="1" applyFill="1" applyFont="1" applyNumberFormat="1">
      <alignment readingOrder="0" shrinkToFit="0" vertical="bottom" wrapText="0"/>
    </xf>
    <xf borderId="1" fillId="0" fontId="1" numFmtId="165" xfId="0" applyAlignment="1" applyBorder="1" applyFont="1" applyNumberFormat="1">
      <alignment shrinkToFit="0" vertical="bottom" wrapText="0"/>
    </xf>
    <xf borderId="1" fillId="20" fontId="1" numFmtId="0" xfId="0" applyAlignment="1" applyBorder="1" applyFill="1" applyFont="1">
      <alignment readingOrder="0" shrinkToFit="0" vertical="bottom" wrapText="0"/>
    </xf>
    <xf borderId="1" fillId="0" fontId="1" numFmtId="165" xfId="0" applyAlignment="1" applyBorder="1" applyFont="1" applyNumberFormat="1">
      <alignment horizontal="left" readingOrder="0" shrinkToFit="0" vertical="bottom" wrapText="0"/>
    </xf>
    <xf borderId="1" fillId="14" fontId="9" numFmtId="165" xfId="0" applyAlignment="1" applyBorder="1" applyFill="1" applyFont="1" applyNumberFormat="1">
      <alignment shrinkToFit="0" vertical="center" wrapText="1"/>
    </xf>
    <xf borderId="9" fillId="15" fontId="16" numFmtId="0" xfId="0" applyAlignment="1" applyBorder="1" applyFill="1" applyFont="1">
      <alignment readingOrder="0" shrinkToFit="0" vertical="center" wrapText="1"/>
    </xf>
    <xf borderId="10" fillId="0" fontId="17" numFmtId="0" xfId="0" applyBorder="1" applyFont="1"/>
    <xf borderId="0" fillId="0" fontId="5" numFmtId="4" xfId="0" applyFont="1" applyNumberFormat="1"/>
    <xf borderId="1" fillId="0" fontId="5" numFmtId="165" xfId="0" applyAlignment="1" applyBorder="1" applyFont="1" applyNumberFormat="1">
      <alignment readingOrder="0"/>
    </xf>
    <xf borderId="1" fillId="0" fontId="5" numFmtId="10" xfId="0" applyBorder="1" applyFont="1" applyNumberFormat="1"/>
    <xf borderId="1" fillId="0" fontId="5" numFmtId="0" xfId="0" applyAlignment="1" applyBorder="1" applyFont="1">
      <alignment readingOrder="0"/>
    </xf>
    <xf borderId="1" fillId="14" fontId="18" numFmtId="0" xfId="0" applyAlignment="1" applyBorder="1" applyFill="1" applyFont="1">
      <alignment horizontal="left" readingOrder="0" shrinkToFit="0" vertical="center" wrapText="0"/>
    </xf>
    <xf borderId="0" fillId="0" fontId="7" numFmtId="0" xfId="0" applyAlignment="1" applyFont="1">
      <alignment readingOrder="0"/>
    </xf>
    <xf borderId="1" fillId="14" fontId="19" numFmtId="170" xfId="0" applyAlignment="1" applyBorder="1" applyFill="1" applyFont="1" applyNumberFormat="1">
      <alignment horizontal="left" readingOrder="0" shrinkToFit="0" vertical="center" wrapText="0"/>
    </xf>
    <xf borderId="1" fillId="20" fontId="9" numFmtId="165" xfId="0" applyAlignment="1" applyBorder="1" applyFill="1" applyFont="1" applyNumberFormat="1">
      <alignment readingOrder="0" shrinkToFit="0" vertical="center" wrapText="1"/>
    </xf>
    <xf borderId="1" fillId="20" fontId="9" numFmtId="165" xfId="0" applyAlignment="1" applyBorder="1" applyFill="1" applyFont="1" applyNumberFormat="1">
      <alignment readingOrder="0" shrinkToFit="0" vertical="center" wrapText="0"/>
    </xf>
    <xf borderId="1" fillId="14" fontId="9" numFmtId="0" xfId="0" applyAlignment="1" applyBorder="1" applyFill="1" applyFont="1">
      <alignment readingOrder="0" shrinkToFit="0" vertical="center" wrapText="1"/>
    </xf>
    <xf borderId="1" fillId="14" fontId="20" numFmtId="0" xfId="0" applyAlignment="1" applyBorder="1" applyFill="1" applyFont="1">
      <alignment horizontal="left" readingOrder="0" shrinkToFit="0" vertical="center" wrapText="1"/>
    </xf>
    <xf borderId="1" fillId="14" fontId="3" numFmtId="165" xfId="0" applyAlignment="1" applyBorder="1" applyFill="1" applyFont="1" applyNumberFormat="1">
      <alignment readingOrder="0" shrinkToFit="0" vertical="center" wrapText="0"/>
    </xf>
    <xf borderId="1" fillId="14" fontId="21" numFmtId="0" xfId="0" applyAlignment="1" applyBorder="1" applyFill="1" applyFont="1">
      <alignment horizontal="left" readingOrder="0" shrinkToFit="0" vertical="center" wrapText="0"/>
    </xf>
    <xf borderId="1" fillId="14" fontId="22" numFmtId="0" xfId="0" applyAlignment="1" applyBorder="1" applyFill="1" applyFont="1">
      <alignment readingOrder="0" shrinkToFit="0" vertical="center" wrapText="0"/>
    </xf>
    <xf borderId="1" fillId="20" fontId="23" numFmtId="0" xfId="0" applyAlignment="1" applyBorder="1" applyFill="1" applyFont="1">
      <alignment horizontal="left" readingOrder="0" shrinkToFit="0" vertical="center" wrapText="1"/>
    </xf>
    <xf borderId="1" fillId="20" fontId="9" numFmtId="165" xfId="0" applyAlignment="1" applyBorder="1" applyFill="1" applyFont="1" applyNumberFormat="1">
      <alignment shrinkToFit="0" vertical="center" wrapText="1"/>
    </xf>
    <xf borderId="1" fillId="0" fontId="5" numFmtId="0" xfId="0" applyAlignment="1" applyBorder="1" applyFont="1">
      <alignment shrinkToFit="0" vertical="center" wrapText="0"/>
    </xf>
    <xf borderId="1" fillId="20" fontId="23" numFmtId="165" xfId="0" applyAlignment="1" applyBorder="1" applyFill="1" applyFont="1" applyNumberFormat="1">
      <alignment readingOrder="0" shrinkToFit="0" vertical="center" wrapText="1"/>
    </xf>
    <xf borderId="1" fillId="20" fontId="23" numFmtId="165" xfId="0" applyAlignment="1" applyBorder="1" applyFill="1" applyFont="1" applyNumberFormat="1">
      <alignment readingOrder="0" shrinkToFit="0" vertical="center" wrapText="0"/>
    </xf>
    <xf borderId="1" fillId="21" fontId="9" numFmtId="0" xfId="0" applyAlignment="1" applyBorder="1" applyFill="1" applyFont="1">
      <alignment horizontal="left" shrinkToFit="0" vertical="center" wrapText="0"/>
    </xf>
    <xf borderId="1" fillId="21" fontId="24" numFmtId="0" xfId="0" applyAlignment="1" applyBorder="1" applyFill="1" applyFont="1">
      <alignment horizontal="left" readingOrder="0" shrinkToFit="0" vertical="center" wrapText="0"/>
    </xf>
    <xf borderId="1" fillId="14" fontId="9" numFmtId="0" xfId="0" applyAlignment="1" applyBorder="1" applyFill="1" applyFont="1">
      <alignment horizontal="left" readingOrder="0" shrinkToFit="0" vertical="center" wrapText="0"/>
    </xf>
    <xf borderId="1" fillId="20" fontId="9" numFmtId="0" xfId="0" applyAlignment="1" applyBorder="1" applyFill="1" applyFont="1">
      <alignment horizontal="left" readingOrder="0" shrinkToFit="0" vertical="center" wrapText="1"/>
    </xf>
    <xf borderId="1" fillId="20" fontId="9" numFmtId="165" xfId="0" applyAlignment="1" applyBorder="1" applyFill="1" applyFont="1" applyNumberFormat="1">
      <alignment shrinkToFit="0" vertical="center" wrapText="0"/>
    </xf>
    <xf borderId="1" fillId="14" fontId="9" numFmtId="3" xfId="0" applyAlignment="1" applyBorder="1" applyFill="1" applyFont="1" applyNumberFormat="1">
      <alignment shrinkToFit="0" vertical="center" wrapText="0"/>
    </xf>
    <xf borderId="1" fillId="0" fontId="25" numFmtId="0" xfId="0" applyAlignment="1" applyBorder="1" applyFont="1">
      <alignment readingOrder="0" shrinkToFit="0" vertical="center" wrapText="0"/>
    </xf>
    <xf borderId="0" fillId="14" fontId="9" numFmtId="0" xfId="0" applyAlignment="1" applyFill="1" applyFont="1">
      <alignment horizontal="left" shrinkToFit="0" vertical="center" wrapText="0"/>
    </xf>
    <xf borderId="0" fillId="14" fontId="26" numFmtId="0" xfId="0" applyAlignment="1" applyFill="1" applyFont="1">
      <alignment horizontal="left" readingOrder="0" shrinkToFit="0" vertical="center" wrapText="0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0"/>
    </xf>
    <xf borderId="1" fillId="14" fontId="9" numFmtId="0" xfId="0" applyAlignment="1" applyBorder="1" applyFill="1" applyFont="1">
      <alignment shrinkToFit="0" vertical="center" wrapText="1"/>
    </xf>
    <xf borderId="1" fillId="14" fontId="9" numFmtId="164" xfId="0" applyAlignment="1" applyBorder="1" applyFill="1" applyFont="1" applyNumberFormat="1">
      <alignment shrinkToFit="0" vertical="center" wrapText="1"/>
    </xf>
    <xf borderId="1" fillId="22" fontId="9" numFmtId="0" xfId="0" applyAlignment="1" applyBorder="1" applyFill="1" applyFont="1">
      <alignment shrinkToFit="0" vertical="center" wrapText="1"/>
    </xf>
    <xf borderId="1" fillId="22" fontId="9" numFmtId="0" xfId="0" applyAlignment="1" applyBorder="1" applyFill="1" applyFont="1">
      <alignment shrinkToFit="0" vertical="center" wrapText="0"/>
    </xf>
    <xf borderId="1" fillId="22" fontId="9" numFmtId="0" xfId="0" applyAlignment="1" applyBorder="1" applyFill="1" applyFont="1">
      <alignment horizontal="left" shrinkToFit="0" vertical="center" wrapText="1"/>
    </xf>
    <xf borderId="11" fillId="14" fontId="9" numFmtId="0" xfId="0" applyAlignment="1" applyBorder="1" applyFill="1" applyFont="1">
      <alignment horizontal="left" shrinkToFit="0" vertical="center" wrapText="0"/>
    </xf>
    <xf borderId="1" fillId="22" fontId="9" numFmtId="0" xfId="0" applyAlignment="1" applyBorder="1" applyFill="1" applyFont="1">
      <alignment readingOrder="0" shrinkToFit="0" vertical="center" wrapText="0"/>
    </xf>
    <xf borderId="1" fillId="14" fontId="27" numFmtId="0" xfId="0" applyAlignment="1" applyBorder="1" applyFill="1" applyFont="1">
      <alignment readingOrder="0" shrinkToFit="0" vertical="center" wrapText="1"/>
    </xf>
    <xf borderId="1" fillId="14" fontId="27" numFmtId="164" xfId="0" applyAlignment="1" applyBorder="1" applyFill="1" applyFont="1" applyNumberFormat="1">
      <alignment readingOrder="0" shrinkToFit="0" vertical="center" wrapText="1"/>
    </xf>
    <xf borderId="1" fillId="22" fontId="9" numFmtId="0" xfId="0" applyAlignment="1" applyBorder="1" applyFill="1" applyFont="1">
      <alignment horizontal="left" readingOrder="0" shrinkToFit="0" vertical="center" wrapText="1"/>
    </xf>
    <xf borderId="1" fillId="14" fontId="27" numFmtId="0" xfId="0" applyAlignment="1" applyBorder="1" applyFill="1" applyFont="1">
      <alignment shrinkToFit="0" vertical="center" wrapText="1"/>
    </xf>
    <xf borderId="1" fillId="14" fontId="27" numFmtId="164" xfId="0" applyAlignment="1" applyBorder="1" applyFill="1" applyFont="1" applyNumberFormat="1">
      <alignment shrinkToFit="0" vertical="center" wrapText="1"/>
    </xf>
    <xf borderId="1" fillId="14" fontId="28" numFmtId="0" xfId="0" applyAlignment="1" applyBorder="1" applyFill="1" applyFont="1">
      <alignment horizontal="left" shrinkToFit="0" vertical="center" wrapText="0"/>
    </xf>
    <xf borderId="1" fillId="0" fontId="27" numFmtId="164" xfId="0" applyAlignment="1" applyBorder="1" applyFont="1" applyNumberFormat="1">
      <alignment shrinkToFit="0" vertical="center" wrapText="1"/>
    </xf>
    <xf borderId="1" fillId="0" fontId="9" numFmtId="165" xfId="0" applyAlignment="1" applyBorder="1" applyFont="1" applyNumberFormat="1">
      <alignment shrinkToFit="0" vertical="center" wrapText="0"/>
    </xf>
    <xf borderId="1" fillId="14" fontId="29" numFmtId="0" xfId="0" applyAlignment="1" applyBorder="1" applyFill="1" applyFont="1">
      <alignment readingOrder="0" shrinkToFit="0" vertical="center" wrapText="0"/>
    </xf>
    <xf borderId="1" fillId="14" fontId="27" numFmtId="164" xfId="0" applyAlignment="1" applyBorder="1" applyFill="1" applyFont="1" applyNumberFormat="1">
      <alignment shrinkToFit="0" vertical="center" wrapText="0"/>
    </xf>
    <xf borderId="1" fillId="20" fontId="9" numFmtId="0" xfId="0" applyAlignment="1" applyBorder="1" applyFill="1" applyFont="1">
      <alignment shrinkToFit="0" vertical="center" wrapText="0"/>
    </xf>
    <xf borderId="1" fillId="20" fontId="9" numFmtId="0" xfId="0" applyAlignment="1" applyBorder="1" applyFill="1" applyFont="1">
      <alignment readingOrder="0" shrinkToFit="0" vertical="center" wrapText="0"/>
    </xf>
    <xf borderId="1" fillId="14" fontId="9" numFmtId="164" xfId="0" applyAlignment="1" applyBorder="1" applyFill="1" applyFont="1" applyNumberFormat="1">
      <alignment readingOrder="0" shrinkToFit="0" vertical="center" wrapText="0"/>
    </xf>
    <xf borderId="1" fillId="0" fontId="9" numFmtId="165" xfId="0" applyAlignment="1" applyBorder="1" applyFont="1" applyNumberFormat="1">
      <alignment readingOrder="0" shrinkToFit="0" vertical="center" wrapText="0"/>
    </xf>
    <xf borderId="1" fillId="0" fontId="3" numFmtId="165" xfId="0" applyAlignment="1" applyBorder="1" applyFont="1" applyNumberFormat="1">
      <alignment readingOrder="0" shrinkToFit="0" vertical="center" wrapText="0"/>
    </xf>
    <xf borderId="1" fillId="18" fontId="9" numFmtId="0" xfId="0" applyAlignment="1" applyBorder="1" applyFill="1" applyFont="1">
      <alignment shrinkToFit="0" vertical="center" wrapText="0"/>
    </xf>
    <xf borderId="1" fillId="18" fontId="9" numFmtId="0" xfId="0" applyAlignment="1" applyBorder="1" applyFill="1" applyFont="1">
      <alignment readingOrder="0" shrinkToFit="0" vertical="center" wrapText="0"/>
    </xf>
    <xf borderId="1" fillId="18" fontId="9" numFmtId="164" xfId="0" applyAlignment="1" applyBorder="1" applyFill="1" applyFont="1" applyNumberFormat="1">
      <alignment readingOrder="0" shrinkToFit="0" vertical="center" wrapText="0"/>
    </xf>
    <xf borderId="1" fillId="21" fontId="9" numFmtId="0" xfId="0" applyAlignment="1" applyBorder="1" applyFill="1" applyFont="1">
      <alignment readingOrder="0" shrinkToFit="0" vertical="center" wrapText="0"/>
    </xf>
    <xf borderId="1" fillId="21" fontId="9" numFmtId="164" xfId="0" applyAlignment="1" applyBorder="1" applyFill="1" applyFont="1" applyNumberFormat="1">
      <alignment readingOrder="0" shrinkToFit="0" vertical="center" wrapText="0"/>
    </xf>
    <xf borderId="1" fillId="21" fontId="9" numFmtId="165" xfId="0" applyAlignment="1" applyBorder="1" applyFill="1" applyFont="1" applyNumberFormat="1">
      <alignment shrinkToFit="0" vertical="center" wrapText="0"/>
    </xf>
    <xf borderId="1" fillId="21" fontId="9" numFmtId="165" xfId="0" applyAlignment="1" applyBorder="1" applyFill="1" applyFont="1" applyNumberFormat="1">
      <alignment readingOrder="0" shrinkToFit="0" vertical="center" wrapText="0"/>
    </xf>
    <xf borderId="1" fillId="21" fontId="3" numFmtId="165" xfId="0" applyAlignment="1" applyBorder="1" applyFill="1" applyFont="1" applyNumberFormat="1">
      <alignment readingOrder="0" shrinkToFit="0" vertical="center" wrapText="0"/>
    </xf>
    <xf borderId="1" fillId="21" fontId="9" numFmtId="0" xfId="0" applyAlignment="1" applyBorder="1" applyFill="1" applyFont="1">
      <alignment horizontal="left" readingOrder="0" shrinkToFit="0" vertical="center" wrapText="0"/>
    </xf>
    <xf borderId="1" fillId="21" fontId="9" numFmtId="3" xfId="0" applyAlignment="1" applyBorder="1" applyFill="1" applyFont="1" applyNumberFormat="1">
      <alignment readingOrder="0" shrinkToFit="0" vertical="center" wrapText="0"/>
    </xf>
    <xf borderId="1" fillId="21" fontId="30" numFmtId="0" xfId="0" applyAlignment="1" applyBorder="1" applyFill="1" applyFont="1">
      <alignment readingOrder="0" shrinkToFit="0" vertical="center" wrapText="0"/>
    </xf>
    <xf borderId="1" fillId="20" fontId="9" numFmtId="0" xfId="0" applyAlignment="1" applyBorder="1" applyFill="1" applyFont="1">
      <alignment shrinkToFit="0" vertical="center" wrapText="0"/>
    </xf>
    <xf borderId="1" fillId="14" fontId="9" numFmtId="164" xfId="0" applyAlignment="1" applyBorder="1" applyFill="1" applyFont="1" applyNumberFormat="1">
      <alignment shrinkToFit="0" vertical="center" wrapText="0"/>
    </xf>
    <xf borderId="1" fillId="20" fontId="9" numFmtId="171" xfId="0" applyAlignment="1" applyBorder="1" applyFill="1" applyFont="1" applyNumberFormat="1">
      <alignment shrinkToFit="0" vertical="center" wrapText="0"/>
    </xf>
    <xf borderId="1" fillId="0" fontId="9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shrinkToFit="0" vertical="center" wrapText="0"/>
    </xf>
    <xf borderId="1" fillId="0" fontId="9" numFmtId="164" xfId="0" applyAlignment="1" applyBorder="1" applyFont="1" applyNumberFormat="1">
      <alignment shrinkToFit="0" vertical="center" wrapText="0"/>
    </xf>
    <xf borderId="1" fillId="0" fontId="9" numFmtId="171" xfId="0" applyAlignment="1" applyBorder="1" applyFont="1" applyNumberFormat="1">
      <alignment shrinkToFit="0" vertical="center" wrapText="0"/>
    </xf>
    <xf borderId="1" fillId="14" fontId="31" numFmtId="0" xfId="0" applyAlignment="1" applyBorder="1" applyFill="1" applyFont="1">
      <alignment shrinkToFit="0" vertical="center" wrapText="0"/>
    </xf>
    <xf borderId="1" fillId="18" fontId="9" numFmtId="164" xfId="0" applyAlignment="1" applyBorder="1" applyFill="1" applyFont="1" applyNumberFormat="1">
      <alignment shrinkToFit="0" vertical="center" wrapText="0"/>
    </xf>
    <xf borderId="1" fillId="14" fontId="3" numFmtId="165" xfId="0" applyAlignment="1" applyBorder="1" applyFill="1" applyFont="1" applyNumberFormat="1">
      <alignment shrinkToFit="0" vertical="center" wrapText="0"/>
    </xf>
    <xf borderId="1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readingOrder="0" shrinkToFit="0" vertical="center" wrapText="0"/>
    </xf>
    <xf borderId="1" fillId="14" fontId="32" numFmtId="165" xfId="0" applyAlignment="1" applyBorder="1" applyFill="1" applyFont="1" applyNumberFormat="1">
      <alignment readingOrder="0" shrinkToFit="0" vertical="center" wrapText="1"/>
    </xf>
    <xf borderId="1" fillId="14" fontId="33" numFmtId="0" xfId="0" applyAlignment="1" applyBorder="1" applyFill="1" applyFont="1">
      <alignment horizontal="left" shrinkToFit="0" vertical="center" wrapText="0"/>
    </xf>
    <xf borderId="1" fillId="14" fontId="32" numFmtId="165" xfId="0" applyAlignment="1" applyBorder="1" applyFill="1" applyFont="1" applyNumberFormat="1">
      <alignment shrinkToFit="0" vertical="center" wrapText="1"/>
    </xf>
    <xf borderId="1" fillId="20" fontId="9" numFmtId="0" xfId="0" applyAlignment="1" applyBorder="1" applyFill="1" applyFont="1">
      <alignment shrinkToFit="0" vertical="center" wrapText="1"/>
    </xf>
    <xf borderId="1" fillId="14" fontId="9" numFmtId="0" xfId="0" applyAlignment="1" applyBorder="1" applyFill="1" applyFont="1">
      <alignment shrinkToFit="0" vertical="center" wrapText="1"/>
    </xf>
    <xf borderId="1" fillId="0" fontId="9" numFmtId="0" xfId="0" applyAlignment="1" applyBorder="1" applyFont="1">
      <alignment readingOrder="0" shrinkToFit="0" vertical="center" wrapText="0"/>
    </xf>
    <xf borderId="1" fillId="14" fontId="3" numFmtId="165" xfId="0" applyAlignment="1" applyBorder="1" applyFill="1" applyFont="1" applyNumberFormat="1">
      <alignment readingOrder="0" shrinkToFit="0" vertical="center" wrapText="1"/>
    </xf>
    <xf borderId="1" fillId="14" fontId="34" numFmtId="3" xfId="0" applyAlignment="1" applyBorder="1" applyFill="1" applyFont="1" applyNumberFormat="1">
      <alignment shrinkToFit="0" vertical="center" wrapText="0"/>
    </xf>
    <xf borderId="1" fillId="14" fontId="33" numFmtId="0" xfId="0" applyAlignment="1" applyBorder="1" applyFill="1" applyFont="1">
      <alignment shrinkToFit="0" vertical="center" wrapText="0"/>
    </xf>
    <xf borderId="1" fillId="14" fontId="35" numFmtId="0" xfId="0" applyAlignment="1" applyBorder="1" applyFill="1" applyFont="1">
      <alignment readingOrder="0" shrinkToFit="0" vertical="center" wrapText="0"/>
    </xf>
    <xf borderId="1" fillId="0" fontId="9" numFmtId="0" xfId="0" applyAlignment="1" applyBorder="1" applyFont="1">
      <alignment shrinkToFit="0" vertical="center" wrapText="1"/>
    </xf>
    <xf borderId="10" fillId="22" fontId="9" numFmtId="0" xfId="0" applyAlignment="1" applyBorder="1" applyFill="1" applyFont="1">
      <alignment shrinkToFit="0" vertical="center" wrapText="1"/>
    </xf>
    <xf borderId="12" fillId="22" fontId="9" numFmtId="0" xfId="0" applyAlignment="1" applyBorder="1" applyFill="1" applyFont="1">
      <alignment shrinkToFit="0" vertical="center" wrapText="0"/>
    </xf>
    <xf borderId="10" fillId="14" fontId="9" numFmtId="0" xfId="0" applyAlignment="1" applyBorder="1" applyFill="1" applyFont="1">
      <alignment horizontal="left" shrinkToFit="0" vertical="center" wrapText="1"/>
    </xf>
    <xf borderId="10" fillId="14" fontId="27" numFmtId="0" xfId="0" applyAlignment="1" applyBorder="1" applyFill="1" applyFont="1">
      <alignment shrinkToFit="0" vertical="center" wrapText="1"/>
    </xf>
    <xf borderId="12" fillId="14" fontId="27" numFmtId="164" xfId="0" applyAlignment="1" applyBorder="1" applyFill="1" applyFont="1" applyNumberFormat="1">
      <alignment shrinkToFit="0" vertical="center" wrapText="1"/>
    </xf>
    <xf borderId="10" fillId="22" fontId="9" numFmtId="0" xfId="0" applyAlignment="1" applyBorder="1" applyFill="1" applyFont="1">
      <alignment shrinkToFit="0" vertical="center" wrapText="0"/>
    </xf>
    <xf borderId="10" fillId="22" fontId="9" numFmtId="0" xfId="0" applyAlignment="1" applyBorder="1" applyFill="1" applyFont="1">
      <alignment horizontal="left" shrinkToFit="0" vertical="center" wrapText="1"/>
    </xf>
    <xf borderId="12" fillId="14" fontId="3" numFmtId="165" xfId="0" applyAlignment="1" applyBorder="1" applyFill="1" applyFont="1" applyNumberFormat="1">
      <alignment shrinkToFit="0" vertical="center" wrapText="0"/>
    </xf>
    <xf borderId="12" fillId="14" fontId="9" numFmtId="0" xfId="0" applyAlignment="1" applyBorder="1" applyFill="1" applyFont="1">
      <alignment horizontal="left" shrinkToFit="0" vertical="center" wrapText="0"/>
    </xf>
    <xf borderId="13" fillId="22" fontId="9" numFmtId="0" xfId="0" applyAlignment="1" applyBorder="1" applyFill="1" applyFont="1">
      <alignment shrinkToFit="0" vertical="center" wrapText="1"/>
    </xf>
    <xf borderId="13" fillId="22" fontId="9" numFmtId="0" xfId="0" applyAlignment="1" applyBorder="1" applyFill="1" applyFont="1">
      <alignment shrinkToFit="0" vertical="center" wrapText="0"/>
    </xf>
    <xf borderId="13" fillId="14" fontId="9" numFmtId="0" xfId="0" applyAlignment="1" applyBorder="1" applyFill="1" applyFont="1">
      <alignment horizontal="left" shrinkToFit="0" vertical="center" wrapText="1"/>
    </xf>
    <xf borderId="13" fillId="14" fontId="27" numFmtId="0" xfId="0" applyAlignment="1" applyBorder="1" applyFill="1" applyFont="1">
      <alignment shrinkToFit="0" vertical="center" wrapText="1"/>
    </xf>
    <xf borderId="13" fillId="14" fontId="27" numFmtId="164" xfId="0" applyAlignment="1" applyBorder="1" applyFill="1" applyFont="1" applyNumberFormat="1">
      <alignment shrinkToFit="0" vertical="center" wrapText="1"/>
    </xf>
    <xf borderId="9" fillId="22" fontId="9" numFmtId="0" xfId="0" applyAlignment="1" applyBorder="1" applyFill="1" applyFont="1">
      <alignment shrinkToFit="0" vertical="center" wrapText="0"/>
    </xf>
    <xf borderId="9" fillId="22" fontId="9" numFmtId="0" xfId="0" applyAlignment="1" applyBorder="1" applyFill="1" applyFont="1">
      <alignment horizontal="left" shrinkToFit="0" vertical="center" wrapText="1"/>
    </xf>
    <xf borderId="13" fillId="14" fontId="3" numFmtId="165" xfId="0" applyAlignment="1" applyBorder="1" applyFill="1" applyFont="1" applyNumberFormat="1">
      <alignment shrinkToFit="0" vertical="center" wrapText="0"/>
    </xf>
    <xf borderId="13" fillId="14" fontId="9" numFmtId="0" xfId="0" applyAlignment="1" applyBorder="1" applyFill="1" applyFont="1">
      <alignment horizontal="left" shrinkToFit="0" vertical="center" wrapText="0"/>
    </xf>
    <xf borderId="1" fillId="23" fontId="9" numFmtId="164" xfId="0" applyAlignment="1" applyBorder="1" applyFill="1" applyFont="1" applyNumberFormat="1">
      <alignment readingOrder="0" shrinkToFit="0" vertical="center" wrapText="0"/>
    </xf>
    <xf borderId="1" fillId="23" fontId="9" numFmtId="164" xfId="0" applyAlignment="1" applyBorder="1" applyFill="1" applyFont="1" applyNumberFormat="1">
      <alignment shrinkToFit="0" vertical="center" wrapText="0"/>
    </xf>
    <xf borderId="1" fillId="22" fontId="9" numFmtId="164" xfId="0" applyAlignment="1" applyBorder="1" applyFill="1" applyFont="1" applyNumberFormat="1">
      <alignment shrinkToFit="0" vertical="center" wrapText="0"/>
    </xf>
    <xf borderId="1" fillId="18" fontId="27" numFmtId="0" xfId="0" applyAlignment="1" applyBorder="1" applyFill="1" applyFont="1">
      <alignment shrinkToFit="0" vertical="center" wrapText="1"/>
    </xf>
    <xf borderId="11" fillId="14" fontId="9" numFmtId="0" xfId="0" applyBorder="1" applyFill="1" applyFont="1"/>
    <xf borderId="14" fillId="14" fontId="9" numFmtId="0" xfId="0" applyBorder="1" applyFill="1" applyFont="1"/>
    <xf borderId="1" fillId="0" fontId="9" numFmtId="164" xfId="0" applyAlignment="1" applyBorder="1" applyFont="1" applyNumberFormat="1">
      <alignment readingOrder="0" shrinkToFit="0" vertical="center" wrapText="0"/>
    </xf>
    <xf borderId="15" fillId="14" fontId="9" numFmtId="0" xfId="0" applyAlignment="1" applyBorder="1" applyFill="1" applyFont="1">
      <alignment shrinkToFit="0" vertical="center" wrapText="0"/>
    </xf>
    <xf borderId="16" fillId="14" fontId="9" numFmtId="0" xfId="0" applyBorder="1" applyFill="1" applyFont="1"/>
    <xf borderId="5" fillId="14" fontId="3" numFmtId="165" xfId="0" applyAlignment="1" applyBorder="1" applyFill="1" applyFont="1" applyNumberFormat="1">
      <alignment shrinkToFit="0" vertical="center" wrapText="0"/>
    </xf>
    <xf borderId="1" fillId="0" fontId="36" numFmtId="0" xfId="0" applyAlignment="1" applyBorder="1" applyFont="1">
      <alignment readingOrder="0" shrinkToFit="0" vertical="center" wrapText="0"/>
    </xf>
    <xf borderId="1" fillId="14" fontId="37" numFmtId="0" xfId="0" applyAlignment="1" applyBorder="1" applyFill="1" applyFont="1">
      <alignment readingOrder="0" shrinkToFit="0" vertical="center" wrapText="0"/>
    </xf>
    <xf borderId="1" fillId="14" fontId="38" numFmtId="0" xfId="0" applyAlignment="1" applyBorder="1" applyFill="1" applyFont="1">
      <alignment shrinkToFit="0" vertical="center" wrapText="0"/>
    </xf>
    <xf borderId="1" fillId="20" fontId="27" numFmtId="165" xfId="0" applyAlignment="1" applyBorder="1" applyFill="1" applyFont="1" applyNumberFormat="1">
      <alignment shrinkToFit="0" vertical="center" wrapText="1"/>
    </xf>
    <xf borderId="1" fillId="14" fontId="39" numFmtId="3" xfId="0" applyAlignment="1" applyBorder="1" applyFill="1" applyFont="1" applyNumberFormat="1">
      <alignment readingOrder="0" shrinkToFit="0" vertical="center" wrapText="0"/>
    </xf>
    <xf borderId="12" fillId="0" fontId="9" numFmtId="0" xfId="0" applyAlignment="1" applyBorder="1" applyFont="1">
      <alignment shrinkToFit="0" vertical="center" wrapText="0"/>
    </xf>
    <xf borderId="10" fillId="0" fontId="9" numFmtId="0" xfId="0" applyAlignment="1" applyBorder="1" applyFont="1">
      <alignment shrinkToFit="0" vertical="center" wrapText="0"/>
    </xf>
    <xf borderId="10" fillId="0" fontId="9" numFmtId="164" xfId="0" applyAlignment="1" applyBorder="1" applyFont="1" applyNumberFormat="1">
      <alignment shrinkToFit="0" vertical="center" wrapText="0"/>
    </xf>
    <xf borderId="10" fillId="0" fontId="9" numFmtId="171" xfId="0" applyAlignment="1" applyBorder="1" applyFont="1" applyNumberFormat="1">
      <alignment shrinkToFit="0" vertical="center" wrapText="0"/>
    </xf>
    <xf borderId="12" fillId="14" fontId="9" numFmtId="165" xfId="0" applyAlignment="1" applyBorder="1" applyFill="1" applyFont="1" applyNumberFormat="1">
      <alignment readingOrder="0" shrinkToFit="0" vertical="center" wrapText="0"/>
    </xf>
    <xf borderId="12" fillId="14" fontId="9" numFmtId="165" xfId="0" applyAlignment="1" applyBorder="1" applyFill="1" applyFont="1" applyNumberFormat="1">
      <alignment shrinkToFit="0" vertical="center" wrapText="0"/>
    </xf>
    <xf borderId="12" fillId="14" fontId="40" numFmtId="3" xfId="0" applyAlignment="1" applyBorder="1" applyFill="1" applyFont="1" applyNumberFormat="1">
      <alignment shrinkToFit="0" vertical="center" wrapText="0"/>
    </xf>
    <xf borderId="12" fillId="14" fontId="9" numFmtId="0" xfId="0" applyAlignment="1" applyBorder="1" applyFill="1" applyFont="1">
      <alignment shrinkToFit="0" vertical="center" wrapText="0"/>
    </xf>
    <xf borderId="12" fillId="14" fontId="41" numFmtId="0" xfId="0" applyAlignment="1" applyBorder="1" applyFill="1" applyFont="1">
      <alignment shrinkToFit="0" vertical="center" wrapText="0"/>
    </xf>
    <xf borderId="1" fillId="20" fontId="3" numFmtId="165" xfId="0" applyAlignment="1" applyBorder="1" applyFill="1" applyFont="1" applyNumberFormat="1">
      <alignment shrinkToFit="0" vertical="center" wrapText="0"/>
    </xf>
    <xf borderId="13" fillId="0" fontId="9" numFmtId="0" xfId="0" applyAlignment="1" applyBorder="1" applyFont="1">
      <alignment shrinkToFit="0" vertical="center" wrapText="0"/>
    </xf>
    <xf borderId="13" fillId="0" fontId="9" numFmtId="0" xfId="0" applyAlignment="1" applyBorder="1" applyFont="1">
      <alignment shrinkToFit="0" vertical="center" wrapText="0"/>
    </xf>
    <xf borderId="13" fillId="0" fontId="9" numFmtId="164" xfId="0" applyAlignment="1" applyBorder="1" applyFont="1" applyNumberFormat="1">
      <alignment shrinkToFit="0" vertical="center" wrapText="0"/>
    </xf>
    <xf borderId="13" fillId="0" fontId="9" numFmtId="171" xfId="0" applyAlignment="1" applyBorder="1" applyFont="1" applyNumberFormat="1">
      <alignment shrinkToFit="0" vertical="center" wrapText="0"/>
    </xf>
    <xf borderId="13" fillId="14" fontId="9" numFmtId="165" xfId="0" applyAlignment="1" applyBorder="1" applyFill="1" applyFont="1" applyNumberFormat="1">
      <alignment shrinkToFit="0" vertical="center" wrapText="0"/>
    </xf>
    <xf borderId="13" fillId="14" fontId="9" numFmtId="165" xfId="0" applyAlignment="1" applyBorder="1" applyFill="1" applyFont="1" applyNumberFormat="1">
      <alignment readingOrder="0" shrinkToFit="0" vertical="center" wrapText="0"/>
    </xf>
    <xf borderId="13" fillId="14" fontId="9" numFmtId="3" xfId="0" applyAlignment="1" applyBorder="1" applyFill="1" applyFont="1" applyNumberFormat="1">
      <alignment shrinkToFit="0" vertical="center" wrapText="0"/>
    </xf>
    <xf borderId="13" fillId="14" fontId="9" numFmtId="0" xfId="0" applyAlignment="1" applyBorder="1" applyFill="1" applyFont="1">
      <alignment shrinkToFit="0" vertical="center" wrapText="0"/>
    </xf>
    <xf borderId="13" fillId="14" fontId="42" numFmtId="0" xfId="0" applyAlignment="1" applyBorder="1" applyFill="1" applyFont="1">
      <alignment shrinkToFit="0" vertical="center" wrapText="0"/>
    </xf>
    <xf borderId="10" fillId="0" fontId="9" numFmtId="0" xfId="0" applyAlignment="1" applyBorder="1" applyFont="1">
      <alignment shrinkToFit="0" vertical="center" wrapText="0"/>
    </xf>
    <xf borderId="5" fillId="14" fontId="9" numFmtId="0" xfId="0" applyAlignment="1" applyBorder="1" applyFill="1" applyFont="1">
      <alignment shrinkToFit="0" vertical="center" wrapText="0"/>
    </xf>
    <xf borderId="9" fillId="0" fontId="9" numFmtId="0" xfId="0" applyAlignment="1" applyBorder="1" applyFont="1">
      <alignment shrinkToFit="0" vertical="center" wrapText="0"/>
    </xf>
    <xf borderId="9" fillId="0" fontId="9" numFmtId="164" xfId="0" applyAlignment="1" applyBorder="1" applyFont="1" applyNumberFormat="1">
      <alignment shrinkToFit="0" vertical="center" wrapText="0"/>
    </xf>
    <xf borderId="9" fillId="0" fontId="9" numFmtId="171" xfId="0" applyAlignment="1" applyBorder="1" applyFont="1" applyNumberFormat="1">
      <alignment shrinkToFit="0" vertical="center" wrapText="0"/>
    </xf>
    <xf borderId="12" fillId="0" fontId="9" numFmtId="0" xfId="0" applyAlignment="1" applyBorder="1" applyFont="1">
      <alignment shrinkToFit="0" vertical="center" wrapText="0"/>
    </xf>
    <xf borderId="12" fillId="21" fontId="9" numFmtId="0" xfId="0" applyAlignment="1" applyBorder="1" applyFill="1" applyFont="1">
      <alignment shrinkToFit="0" vertical="center" wrapText="0"/>
    </xf>
    <xf borderId="12" fillId="0" fontId="9" numFmtId="164" xfId="0" applyAlignment="1" applyBorder="1" applyFont="1" applyNumberFormat="1">
      <alignment shrinkToFit="0" vertical="center" wrapText="0"/>
    </xf>
    <xf borderId="12" fillId="0" fontId="9" numFmtId="171" xfId="0" applyAlignment="1" applyBorder="1" applyFont="1" applyNumberFormat="1">
      <alignment shrinkToFit="0" vertical="center" wrapText="0"/>
    </xf>
    <xf borderId="1" fillId="21" fontId="9" numFmtId="0" xfId="0" applyAlignment="1" applyBorder="1" applyFill="1" applyFont="1">
      <alignment shrinkToFit="0" vertical="center" wrapText="0"/>
    </xf>
    <xf borderId="1" fillId="14" fontId="43" numFmtId="3" xfId="0" applyAlignment="1" applyBorder="1" applyFill="1" applyFont="1" applyNumberFormat="1">
      <alignment readingOrder="0" shrinkToFit="0" vertical="center" wrapText="0"/>
    </xf>
    <xf borderId="1" fillId="14" fontId="44" numFmtId="3" xfId="0" applyAlignment="1" applyBorder="1" applyFill="1" applyFont="1" applyNumberFormat="1">
      <alignment shrinkToFit="0" vertical="center" wrapText="0"/>
    </xf>
    <xf borderId="1" fillId="14" fontId="45" numFmtId="0" xfId="0" applyAlignment="1" applyBorder="1" applyFill="1" applyFont="1">
      <alignment shrinkToFit="0" vertical="center" wrapText="0"/>
    </xf>
    <xf borderId="1" fillId="0" fontId="9" numFmtId="11" xfId="0" applyAlignment="1" applyBorder="1" applyFont="1" applyNumberFormat="1">
      <alignment shrinkToFit="0" vertical="center" wrapText="0"/>
    </xf>
    <xf borderId="1" fillId="0" fontId="9" numFmtId="1" xfId="0" applyAlignment="1" applyBorder="1" applyFont="1" applyNumberFormat="1">
      <alignment shrinkToFit="0" vertical="center" wrapText="0"/>
    </xf>
    <xf borderId="1" fillId="0" fontId="9" numFmtId="0" xfId="0" applyAlignment="1" applyBorder="1" applyFont="1">
      <alignment readingOrder="0" shrinkToFit="0" vertical="center" wrapText="1"/>
    </xf>
    <xf borderId="1" fillId="18" fontId="9" numFmtId="0" xfId="0" applyAlignment="1" applyBorder="1" applyFill="1" applyFont="1">
      <alignment shrinkToFit="0" vertical="center" wrapText="1"/>
    </xf>
    <xf borderId="9" fillId="0" fontId="9" numFmtId="0" xfId="0" applyAlignment="1" applyBorder="1" applyFont="1">
      <alignment shrinkToFit="0" vertical="center" wrapText="0"/>
    </xf>
    <xf borderId="9" fillId="0" fontId="9" numFmtId="0" xfId="0" applyAlignment="1" applyBorder="1" applyFont="1">
      <alignment readingOrder="0" shrinkToFit="0" vertical="center" wrapText="0"/>
    </xf>
    <xf borderId="13" fillId="14" fontId="46" numFmtId="0" xfId="0" applyAlignment="1" applyBorder="1" applyFill="1" applyFont="1">
      <alignment shrinkToFit="0" vertical="center" wrapText="0"/>
    </xf>
    <xf borderId="9" fillId="0" fontId="9" numFmtId="164" xfId="0" applyAlignment="1" applyBorder="1" applyFont="1" applyNumberFormat="1">
      <alignment readingOrder="0" shrinkToFit="0" vertical="center" wrapText="0"/>
    </xf>
    <xf borderId="9" fillId="14" fontId="9" numFmtId="165" xfId="0" applyAlignment="1" applyBorder="1" applyFill="1" applyFont="1" applyNumberFormat="1">
      <alignment shrinkToFit="0" vertical="center" wrapText="0"/>
    </xf>
    <xf borderId="9" fillId="14" fontId="9" numFmtId="165" xfId="0" applyAlignment="1" applyBorder="1" applyFill="1" applyFont="1" applyNumberFormat="1">
      <alignment readingOrder="0" shrinkToFit="0" vertical="center" wrapText="0"/>
    </xf>
    <xf borderId="9" fillId="14" fontId="3" numFmtId="165" xfId="0" applyAlignment="1" applyBorder="1" applyFill="1" applyFont="1" applyNumberFormat="1">
      <alignment readingOrder="0" shrinkToFit="0" vertical="center" wrapText="0"/>
    </xf>
    <xf borderId="9" fillId="14" fontId="9" numFmtId="3" xfId="0" applyAlignment="1" applyBorder="1" applyFill="1" applyFont="1" applyNumberFormat="1">
      <alignment readingOrder="0" shrinkToFit="0" vertical="center" wrapText="0"/>
    </xf>
    <xf borderId="9" fillId="14" fontId="9" numFmtId="0" xfId="0" applyAlignment="1" applyBorder="1" applyFill="1" applyFont="1">
      <alignment readingOrder="0" shrinkToFit="0" vertical="center" wrapText="0"/>
    </xf>
    <xf borderId="9" fillId="14" fontId="47" numFmtId="0" xfId="0" applyAlignment="1" applyBorder="1" applyFill="1" applyFont="1">
      <alignment readingOrder="0" shrinkToFit="0" vertical="center" wrapText="0"/>
    </xf>
    <xf borderId="9" fillId="14" fontId="9" numFmtId="0" xfId="0" applyAlignment="1" applyBorder="1" applyFill="1" applyFont="1">
      <alignment shrinkToFit="0" vertical="center" wrapText="0"/>
    </xf>
    <xf borderId="9" fillId="0" fontId="9" numFmtId="0" xfId="0" applyAlignment="1" applyBorder="1" applyFont="1">
      <alignment readingOrder="0" shrinkToFit="0" vertical="center" wrapText="0"/>
    </xf>
    <xf borderId="13" fillId="14" fontId="9" numFmtId="0" xfId="0" applyAlignment="1" applyBorder="1" applyFill="1" applyFont="1">
      <alignment readingOrder="0" shrinkToFit="0" vertical="center" wrapText="0"/>
    </xf>
    <xf borderId="17" fillId="0" fontId="9" numFmtId="0" xfId="0" applyAlignment="1" applyBorder="1" applyFont="1">
      <alignment shrinkToFit="0" vertical="center" wrapText="0"/>
    </xf>
    <xf borderId="17" fillId="0" fontId="9" numFmtId="0" xfId="0" applyAlignment="1" applyBorder="1" applyFont="1">
      <alignment shrinkToFit="0" vertical="center" wrapText="0"/>
    </xf>
    <xf borderId="18" fillId="14" fontId="9" numFmtId="0" xfId="0" applyAlignment="1" applyBorder="1" applyFill="1" applyFont="1">
      <alignment shrinkToFit="0" vertical="center" wrapText="0"/>
    </xf>
    <xf borderId="17" fillId="0" fontId="9" numFmtId="164" xfId="0" applyAlignment="1" applyBorder="1" applyFont="1" applyNumberFormat="1">
      <alignment shrinkToFit="0" vertical="center" wrapText="0"/>
    </xf>
    <xf borderId="17" fillId="0" fontId="9" numFmtId="171" xfId="0" applyAlignment="1" applyBorder="1" applyFont="1" applyNumberFormat="1">
      <alignment shrinkToFit="0" vertical="center" wrapText="0"/>
    </xf>
    <xf borderId="18" fillId="14" fontId="3" numFmtId="165" xfId="0" applyAlignment="1" applyBorder="1" applyFill="1" applyFont="1" applyNumberFormat="1">
      <alignment shrinkToFit="0" vertical="center" wrapText="0"/>
    </xf>
    <xf borderId="18" fillId="14" fontId="9" numFmtId="3" xfId="0" applyAlignment="1" applyBorder="1" applyFill="1" applyFont="1" applyNumberFormat="1">
      <alignment shrinkToFit="0" vertical="center" wrapText="0"/>
    </xf>
    <xf borderId="18" fillId="14" fontId="48" numFmtId="0" xfId="0" applyAlignment="1" applyBorder="1" applyFill="1" applyFont="1">
      <alignment shrinkToFit="0" vertical="center" wrapText="0"/>
    </xf>
    <xf borderId="1" fillId="24" fontId="3" numFmtId="165" xfId="0" applyAlignment="1" applyBorder="1" applyFill="1" applyFont="1" applyNumberFormat="1">
      <alignment shrinkToFit="0" vertical="center" wrapText="0"/>
    </xf>
    <xf borderId="10" fillId="14" fontId="9" numFmtId="165" xfId="0" applyAlignment="1" applyBorder="1" applyFill="1" applyFont="1" applyNumberFormat="1">
      <alignment shrinkToFit="0" vertical="center" wrapText="0"/>
    </xf>
    <xf borderId="10" fillId="14" fontId="9" numFmtId="3" xfId="0" applyAlignment="1" applyBorder="1" applyFill="1" applyFont="1" applyNumberFormat="1">
      <alignment shrinkToFit="0" vertical="center" wrapText="0"/>
    </xf>
    <xf borderId="10" fillId="14" fontId="9" numFmtId="3" xfId="0" applyAlignment="1" applyBorder="1" applyFill="1" applyFont="1" applyNumberFormat="1">
      <alignment readingOrder="0" shrinkToFit="0" vertical="center" wrapText="0"/>
    </xf>
    <xf borderId="10" fillId="14" fontId="9" numFmtId="0" xfId="0" applyAlignment="1" applyBorder="1" applyFill="1" applyFont="1">
      <alignment shrinkToFit="0" vertical="center" wrapText="0"/>
    </xf>
    <xf borderId="10" fillId="14" fontId="49" numFmtId="0" xfId="0" applyAlignment="1" applyBorder="1" applyFill="1" applyFont="1">
      <alignment shrinkToFit="0" vertical="center" wrapText="0"/>
    </xf>
    <xf borderId="12" fillId="14" fontId="9" numFmtId="3" xfId="0" applyAlignment="1" applyBorder="1" applyFill="1" applyFont="1" applyNumberFormat="1">
      <alignment shrinkToFit="0" vertical="center" wrapText="0"/>
    </xf>
    <xf borderId="12" fillId="14" fontId="9" numFmtId="3" xfId="0" applyAlignment="1" applyBorder="1" applyFill="1" applyFont="1" applyNumberFormat="1">
      <alignment readingOrder="0" shrinkToFit="0" vertical="center" wrapText="0"/>
    </xf>
    <xf borderId="1" fillId="14" fontId="50" numFmtId="0" xfId="0" applyAlignment="1" applyBorder="1" applyFill="1" applyFont="1">
      <alignment readingOrder="0" shrinkToFit="0" vertical="center" wrapText="0"/>
    </xf>
    <xf borderId="13" fillId="14" fontId="51" numFmtId="3" xfId="0" applyAlignment="1" applyBorder="1" applyFill="1" applyFont="1" applyNumberFormat="1">
      <alignment shrinkToFit="0" vertical="center" wrapText="0"/>
    </xf>
    <xf borderId="13" fillId="14" fontId="52" numFmtId="3" xfId="0" applyAlignment="1" applyBorder="1" applyFill="1" applyFont="1" applyNumberFormat="1">
      <alignment readingOrder="0" shrinkToFit="0" vertical="center" wrapText="0"/>
    </xf>
    <xf borderId="12" fillId="14" fontId="53" numFmtId="3" xfId="0" applyAlignment="1" applyBorder="1" applyFill="1" applyFont="1" applyNumberFormat="1">
      <alignment readingOrder="0" shrinkToFit="0" vertical="center" wrapText="0"/>
    </xf>
    <xf borderId="1" fillId="22" fontId="9" numFmtId="3" xfId="0" applyAlignment="1" applyBorder="1" applyFill="1" applyFont="1" applyNumberFormat="1">
      <alignment shrinkToFit="0" vertical="center" wrapText="0"/>
    </xf>
    <xf borderId="1" fillId="14" fontId="9" numFmtId="0" xfId="0" applyAlignment="1" applyBorder="1" applyFill="1" applyFont="1">
      <alignment shrinkToFit="0" vertical="center" wrapText="0"/>
    </xf>
    <xf borderId="1" fillId="14" fontId="9" numFmtId="171" xfId="0" applyAlignment="1" applyBorder="1" applyFill="1" applyFont="1" applyNumberFormat="1">
      <alignment shrinkToFit="0" vertical="center" wrapText="0"/>
    </xf>
    <xf borderId="1" fillId="14" fontId="54" numFmtId="0" xfId="0" applyAlignment="1" applyBorder="1" applyFill="1" applyFont="1">
      <alignment shrinkToFit="0" vertical="center" wrapText="0"/>
    </xf>
    <xf borderId="1" fillId="14" fontId="55" numFmtId="0" xfId="0" applyAlignment="1" applyBorder="1" applyFill="1" applyFont="1">
      <alignment readingOrder="0" shrinkToFit="0" vertical="center" wrapText="0"/>
    </xf>
    <xf borderId="1" fillId="14" fontId="56" numFmtId="0" xfId="0" applyAlignment="1" applyBorder="1" applyFill="1" applyFont="1">
      <alignment shrinkToFit="0" vertical="center" wrapText="0"/>
    </xf>
    <xf borderId="12" fillId="14" fontId="9" numFmtId="0" xfId="0" applyAlignment="1" applyBorder="1" applyFill="1" applyFont="1">
      <alignment readingOrder="0" shrinkToFit="0" vertical="center" wrapText="0"/>
    </xf>
    <xf borderId="1" fillId="14" fontId="27" numFmtId="0" xfId="0" applyAlignment="1" applyBorder="1" applyFill="1" applyFont="1">
      <alignment shrinkToFit="0" vertical="center" wrapText="0"/>
    </xf>
    <xf borderId="1" fillId="14" fontId="27" numFmtId="0" xfId="0" applyAlignment="1" applyBorder="1" applyFill="1" applyFont="1">
      <alignment readingOrder="0" shrinkToFit="0" vertical="center" wrapText="0"/>
    </xf>
    <xf borderId="1" fillId="0" fontId="9" numFmtId="172" xfId="0" applyAlignment="1" applyBorder="1" applyFont="1" applyNumberFormat="1">
      <alignment shrinkToFit="0" vertical="center" wrapText="0"/>
    </xf>
    <xf borderId="9" fillId="0" fontId="9" numFmtId="172" xfId="0" applyAlignment="1" applyBorder="1" applyFont="1" applyNumberFormat="1">
      <alignment shrinkToFit="0" vertical="center" wrapText="0"/>
    </xf>
    <xf borderId="10" fillId="0" fontId="9" numFmtId="172" xfId="0" applyAlignment="1" applyBorder="1" applyFont="1" applyNumberFormat="1">
      <alignment shrinkToFit="0" vertical="center" wrapText="0"/>
    </xf>
    <xf borderId="1" fillId="14" fontId="57" numFmtId="0" xfId="0" applyAlignment="1" applyBorder="1" applyFill="1" applyFont="1">
      <alignment shrinkToFit="0" vertical="center" wrapText="0"/>
    </xf>
    <xf borderId="9" fillId="14" fontId="9" numFmtId="0" xfId="0" applyAlignment="1" applyBorder="1" applyFill="1" applyFont="1">
      <alignment shrinkToFit="0" vertical="center" wrapText="1"/>
    </xf>
    <xf borderId="9" fillId="14" fontId="9" numFmtId="0" xfId="0" applyAlignment="1" applyBorder="1" applyFill="1" applyFont="1">
      <alignment horizontal="left" shrinkToFit="0" vertical="center" wrapText="1"/>
    </xf>
    <xf borderId="9" fillId="14" fontId="9" numFmtId="164" xfId="0" applyAlignment="1" applyBorder="1" applyFill="1" applyFont="1" applyNumberFormat="1">
      <alignment shrinkToFit="0" vertical="center" wrapText="1"/>
    </xf>
    <xf borderId="13" fillId="14" fontId="9" numFmtId="165" xfId="0" applyAlignment="1" applyBorder="1" applyFill="1" applyFont="1" applyNumberFormat="1">
      <alignment shrinkToFit="0" vertical="center" wrapText="1"/>
    </xf>
    <xf borderId="13" fillId="14" fontId="57" numFmtId="0" xfId="0" applyAlignment="1" applyBorder="1" applyFill="1" applyFont="1">
      <alignment shrinkToFit="0" vertical="center" wrapText="0"/>
    </xf>
    <xf borderId="13" fillId="14" fontId="9" numFmtId="0" xfId="0" applyAlignment="1" applyBorder="1" applyFill="1" applyFont="1">
      <alignment horizontal="left"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164" xfId="0" applyAlignment="1" applyFont="1" applyNumberFormat="1">
      <alignment shrinkToFit="0" vertical="center" wrapText="0"/>
    </xf>
    <xf borderId="0" fillId="0" fontId="9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0070C0"/>
          <bgColor rgb="FF0070C0"/>
        </patternFill>
      </fill>
      <border/>
    </dxf>
    <dxf>
      <font/>
      <fill>
        <patternFill patternType="solid">
          <fgColor rgb="FF7030A0"/>
          <bgColor rgb="FF7030A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6CB"/>
          <bgColor rgb="FFFFF6CB"/>
        </patternFill>
      </fill>
      <border/>
    </dxf>
    <dxf>
      <font/>
      <fill>
        <patternFill patternType="solid">
          <fgColor rgb="FFD8DCE2"/>
          <bgColor rgb="FFD8DCE2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F3F2ED"/>
      </font>
      <numFmt numFmtId="0" formatCode=""/>
      <fill>
        <patternFill patternType="solid">
          <fgColor rgb="FF0070C0"/>
          <bgColor rgb="FF0070C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4" pivot="0" name="Registr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IC-Distributed-Team-Meeting-Planner105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IC-Leads-and-Opportunities-Tracking-Template23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stributed Team Meeting Plan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eads &amp; Opportunities Dashboard"/>
      <sheetName val="Leads"/>
      <sheetName val="Opportunities"/>
      <sheetName val="IC-Leads-and-Opportunities-Trac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429" sheet="Registro"/>
  </cacheSource>
  <cacheFields>
    <cacheField name="Documento" numFmtId="0">
      <sharedItems containsBlank="1">
        <s v="BOLETA DE HONORARIOS"/>
        <s v="COMPROBANTE DE PAGO"/>
        <s v="BOLETA"/>
        <s v="FACTURA"/>
        <m/>
        <s v="COMPROBANTE DE TRANSFERENCIA"/>
        <s v="NOTA DE CREDITO"/>
      </sharedItems>
    </cacheField>
    <cacheField name="Estado de conciliación" numFmtId="0">
      <sharedItems containsBlank="1">
        <s v="CONCILIADO"/>
        <s v="PENDIENTE"/>
        <s v="RECHAZADO"/>
        <m/>
      </sharedItems>
    </cacheField>
    <cacheField name="n° de documento">
      <sharedItems containsBlank="1" containsMixedTypes="1" containsNumber="1" containsInteger="1">
        <n v="7.0"/>
        <s v="----"/>
        <m/>
        <n v="1241909.0"/>
        <n v="2.689791942E9"/>
        <n v="2.663056173E9"/>
        <n v="1.49451576E8"/>
        <n v="1.49451577E8"/>
        <n v="189.0"/>
        <n v="10570.0"/>
        <n v="2.0088414E7"/>
        <n v="2.0059394E7"/>
        <n v="3196790.0"/>
        <n v="1284438.0"/>
        <n v="4.70091898E8"/>
        <n v="2.620638606E9"/>
        <n v="3.8950212E7"/>
        <n v="95151.0"/>
        <s v="2508 240113462371 &#10;00013226631"/>
        <n v="273895.0"/>
        <n v="20136.0"/>
        <s v="2408 244921662341 &#10;00001852789"/>
        <s v="2008 00000000"/>
        <n v="5743514.0"/>
        <n v="78345.0"/>
        <n v="3.8841643E7"/>
        <n v="1.3341738E7"/>
        <n v="7799.0"/>
        <s v="2008 90695554"/>
        <s v="1708 24011346"/>
        <s v="1808 11124076"/>
        <s v="1708 00000000"/>
        <s v="17CJFK4L-0004"/>
        <n v="3.45234555E9"/>
        <n v="2.2480204E7"/>
        <n v="1.49003983E8"/>
        <n v="1.49003977E8"/>
        <n v="94378.0"/>
        <n v="76.0"/>
        <n v="31437.0"/>
        <n v="31436.0"/>
        <s v="1108 24692166"/>
        <s v="1108 00000000"/>
        <s v="---"/>
        <n v="1.48957669E8"/>
        <n v="1.48957667E8"/>
        <n v="8.78984895E8"/>
        <n v="1.0"/>
        <n v="1208397.0"/>
        <n v="94002.0"/>
        <n v="2.0398696E7"/>
        <n v="2.1653319E7"/>
        <n v="236.0"/>
        <s v="0508 00000000"/>
        <s v="0508 01173910"/>
        <n v="93853.0"/>
        <n v="4.5937782E7"/>
        <s v="0308 11871585"/>
        <n v="2.0387804E7"/>
        <n v="6.0"/>
        <n v="91.0"/>
        <s v="3107 00102011"/>
        <n v="49.0"/>
        <n v="16.0"/>
        <s v="2407 11250245"/>
        <s v="2207 24492166"/>
        <n v="5.376882E7"/>
        <n v="2.1591468E7"/>
        <n v="16139.0"/>
        <s v="1507 24011346"/>
        <s v="17CJFK4L-0003"/>
        <n v="438263.0"/>
        <n v="8897.0"/>
        <n v="3506078.0"/>
        <n v="3.2312811E7"/>
        <s v="0707 00000000"/>
        <n v="2.15163E7"/>
        <n v="2.1512257E7"/>
        <n v="43.0"/>
        <n v="90.0"/>
        <n v="17.0"/>
        <n v="14.0"/>
        <n v="1.1931895E7"/>
        <s v="2206 24492166"/>
        <n v="5.3680645E7"/>
        <n v="15539.0"/>
        <s v="17CJFK4L-0002"/>
        <n v="2.1418715E7"/>
        <n v="441377.0"/>
        <n v="4.0"/>
        <n v="89.0"/>
        <n v="5.3442241E7"/>
        <n v="15010.0"/>
        <s v="1505 24011346"/>
        <s v=" 17CJFK4L-0001"/>
        <n v="476667.0"/>
        <n v="476672.0"/>
        <s v="0605 00000000"/>
        <n v="2.1345554E7"/>
        <n v="14421.0"/>
        <n v="2.63092224E8"/>
        <n v="2.1339315E7"/>
        <n v="3.367834641E9"/>
        <n v="60279.0"/>
        <n v="1979.0"/>
        <n v="11180.0"/>
        <n v="11154.0"/>
        <n v="20395.0"/>
        <s v="2204 24492166"/>
        <n v="7064130.0"/>
        <n v="8.263163527E9"/>
        <s v="1504 24011346"/>
        <n v="15.0"/>
        <s v="0704 00000000"/>
        <n v="2.128824E7"/>
        <n v="2.1277428E7"/>
        <n v="13.0"/>
        <s v="2303 24492166"/>
        <s v="0503 00000000"/>
        <s v="N/A"/>
        <s v="2302 24492166"/>
        <n v="9.0079082E7"/>
        <s v="2302 24492166053100001106945"/>
        <s v="1902 00000000"/>
        <s v="EXP0097720260246893815"/>
        <n v="12.0"/>
        <s v="mvl_emp2602121117123420421210"/>
        <s v="mvl_emp2602121116123420172210"/>
        <s v="mvl_emp2602121119123420293230"/>
        <s v="MBT_540750b7-a23e-4ec9-b458-de2fb9a8a5f7"/>
        <s v="1102 25048594"/>
        <n v="3448905.0"/>
        <s v="WV0693510101"/>
        <s v="W20952287069"/>
        <s v="0502 00970130"/>
        <s v="0402 00163110"/>
        <s v="MVL_EMP260203155712"/>
        <n v="11.0"/>
        <n v="24.0"/>
        <n v="1.0566457E7"/>
        <n v="8.3719984399E10"/>
        <n v="907.0"/>
        <s v="280124011346027100115535859"/>
        <n v="2.1011282E7"/>
        <n v="5.2728854E7"/>
        <s v="2201 24492166 022100001494711"/>
        <n v="1.3031284E7"/>
        <s v="2001 00000000"/>
        <n v="2.0294499E7"/>
        <n v="2.0140822E7"/>
        <n v="7.8886193E7"/>
        <s v="45 y  46"/>
        <n v="44.0"/>
        <n v="2.0919388E7"/>
        <n v="183.0"/>
        <n v="70.0"/>
        <n v="2.3664107E7"/>
        <n v="8.263112524E9"/>
        <s v="MBT_cca168b2-9a71-4f3c-9b50-799af9472ff0"/>
        <s v="CT2602110904123405387240"/>
        <s v="CT2602110901123404189790"/>
        <s v="1201 40189059"/>
        <n v="1.44220357E8"/>
        <s v="MVL_EMP260107085512"/>
        <s v="41 y 48 "/>
        <n v="1.3010111E7"/>
        <n v="3.7023908E7"/>
        <n v="2.5909458E7"/>
        <n v="10.0"/>
        <s v="MVL_EMP260105120912"/>
        <n v="97.0"/>
        <s v="MVL_EMP260102101812"/>
        <n v="40.0"/>
        <n v="5.2511868E7"/>
        <n v="237.0"/>
        <n v="9.0"/>
        <n v="38.0"/>
        <n v="2.5782634E7"/>
        <s v="MVL_EMP2512180946122595250000"/>
        <n v="8.675046696E9"/>
        <n v="5495369.0"/>
        <n v="35.0"/>
        <n v="34.0"/>
        <n v="2.0838779E7"/>
        <n v="5.2353096E7"/>
        <n v="33.0"/>
        <n v="69.0"/>
        <n v="8.617104076E9"/>
        <n v="5.0"/>
        <n v="2.0764256E7"/>
        <n v="2.0721044E7"/>
        <n v="5.1897855E7"/>
        <n v="180.0"/>
        <n v="27.0"/>
        <n v="68.0"/>
        <n v="29.0"/>
        <n v="28.0"/>
        <n v="54.0"/>
        <n v="1.9418116E7"/>
        <n v="2.0698619E7"/>
        <n v="1.1605017E7"/>
        <s v="F-19, F-22"/>
        <n v="1.8323207E7"/>
        <n v="21.0"/>
        <n v="18.0"/>
        <n v="2.054241E7"/>
        <n v="1.2873777E7"/>
        <n v="1040642.0"/>
        <n v="1040492.0"/>
        <n v="3752213.0"/>
        <n v="2.4111822E7"/>
        <n v="3.16384705E9"/>
        <n v="6.8525102E7"/>
        <n v="1.52878036E8"/>
        <n v="1690851.0"/>
        <n v="1.2528546711E10"/>
        <n v="1038.0"/>
        <n v="1.53129663E8"/>
        <n v="3.161497148E9"/>
        <n v="184.0"/>
        <n v="28939.0"/>
        <n v="5356898.0"/>
        <n v="3.5826554E7"/>
        <n v="719568.0"/>
        <n v="5.1943038E7"/>
        <n v="2.046163E7"/>
        <n v="3451.0"/>
        <n v="3301.0"/>
        <n v="2470.0"/>
        <n v="2229592.0"/>
        <n v="1.2725601E7"/>
        <n v="3297365.0"/>
        <n v="2.4742103E7"/>
        <n v="1.2724801E7"/>
        <n v="3.37945933E8"/>
        <n v="1469207.0"/>
        <n v="12337.0"/>
        <n v="5772043.0"/>
        <n v="5262621.0"/>
        <n v="5771787.0"/>
        <n v="3395890.0"/>
        <n v="12317.0"/>
        <n v="731800.0"/>
        <n v="2463364.0"/>
        <n v="6320237.0"/>
        <n v="5784577.0"/>
        <n v="3.109645979E9"/>
        <n v="18810.0"/>
        <n v="5.73820999E8"/>
        <n v="1.0726855E7"/>
        <s v="RCDRZDNTQA"/>
        <n v="313832.0"/>
        <n v="78837.0"/>
        <n v="5762773.0"/>
        <n v="4284991.0"/>
        <n v="6072261.0"/>
        <n v="12319.0"/>
        <n v="1446751.0"/>
        <n v="12118.0"/>
        <n v="723161.0"/>
        <n v="5.70355793E8"/>
        <n v="5773276.0"/>
        <n v="5.67249822E8"/>
        <n v="2452246.0"/>
        <n v="1.47343943E8"/>
        <n v="5841921.0"/>
        <n v="7.56698382E8"/>
        <n v="6986967.0"/>
        <n v="7.8205453E7"/>
        <s v=" RCYX4KCH89 · 23 de junio de 2025"/>
        <n v="152.0"/>
        <n v="151.0"/>
        <n v="8872319.0"/>
        <n v="1201523.0"/>
        <n v="7875012.0"/>
        <n v="5.1210489E7"/>
        <n v="918469.0"/>
        <n v="1.468041E7"/>
      </sharedItems>
    </cacheField>
    <cacheField name="Razón social" numFmtId="0">
      <sharedItems containsBlank="1">
        <s v="Pago: Humberto Alejandro Ojeda"/>
        <s v="Suscripcion Google LLC"/>
        <s v="Pago: Angel Hernan Pizarro Pavez"/>
        <s v="Soc. Conc. Ruta 5 Talca-Chillán S.A. "/>
        <s v="Empresa Nacional de Energía ENEX S.A"/>
        <s v="LIDER"/>
        <s v="SODIMAC S.A"/>
        <s v="ESTUDIO CONTABLE C&amp;V LIMITADA"/>
        <s v="KUPOS S.A."/>
        <s v="LAFLOTECOPIA EIRL"/>
        <s v="COMERCIAL AIPING LTD"/>
        <s v="COPEC S.A."/>
        <s v="Electrónica Retail Limitada"/>
        <s v="Mall Marina Viña"/>
        <s v="EASY RETAIL S.A."/>
        <s v="COPEC - COMERCIAL Y DISTRIBUIDORA SEPULVEDA"/>
        <s v="ZOOM.COM 888-799-96 COMPRAS INT.VI"/>
        <s v="IMPORTADORA Y DISTRIBUIDORA GO-SHOP LTDA"/>
        <s v="DISTRIBUIDORA GALAXIA LIMITADA"/>
        <s v="OPENAI*CHATGPT SUB - Internacional"/>
        <s v="IMPUESTO DECRETO LEY 3475 TASA 0,066 %"/>
        <s v="COBRO ADM MENSUAL"/>
        <s v="INTERESES ROTATIVOS"/>
        <s v="FALABELLA RETAIL S.A."/>
        <s v="COPEC - ESCOBAR Y DE DIEGO LIMITADA"/>
        <s v="CHILEXPRESS S.A."/>
        <s v="GRABOCHILE SPA"/>
        <s v="LINKEDIN LINKEDIN LAS CONDES"/>
        <s v="ANTHROPIC* CLAUDE S - Internacional"/>
        <s v="SIMPLEDTE / PIRIOD SANTIAGO"/>
        <s v="COMISIÓN COMPRA INTERNACIONAL"/>
        <s v="Pago Invoice mensual"/>
        <s v="Jumbo "/>
        <s v="Arcos de Valparaiso SPA ORD 946"/>
        <s v="COPEC S.A"/>
        <s v="Pago: Gary Henriquez Pinto "/>
        <s v="Comercializadora y distribuidora de materiales de construccion Ltda"/>
        <s v="GOOGLE *Google One - Internacional"/>
        <s v="Suscripcion mensual LLC"/>
        <s v="Sodimac S.A "/>
        <s v="Lider Express compra Tijeras 13cm"/>
        <s v="Pago: Agustin Ignacion Miranda"/>
        <s v="BALLENARY-SERVICIOS SPA RUT 77.468.183-3"/>
        <s v="IMPERIAL S.A."/>
        <s v="Entel Servicios de ingenieria Ivan Andres"/>
        <s v="Comercializadora horizonte 7 Limitada"/>
        <s v="TRASPASO DEUDA INTERNACIONAL"/>
        <s v="PAGO PAC EN PESOS"/>
        <s v="App-Traspaso a: A. Grabochile Spa"/>
        <s v="DLOCAL*GOOGLE ADS SANTIAGO"/>
        <s v="Pago : Angel Hernan Pizarro"/>
        <s v="Pago: Camila Fernanda Morales"/>
        <s v="Compra con Tarjeta de Débito en EASY"/>
        <s v="Compra con Tarjeta de Débito en ESTACIONAMIENTO REPUBLIC"/>
        <s v="Compra con Tarjeta de Débito en SODIMAC"/>
        <s v="DL*GOOGLE ADS SANTIAGO"/>
        <s v="Agencia Eudora Spa"/>
        <s v="Pago: Catalina Badilla"/>
        <s v="Entel servicios de ingenieria Ivan Andres Arriagada"/>
        <s v="Suscripcion mensual"/>
        <s v="Actividades de Restaurantes y de Servicio Movil de Comidas"/>
        <s v="Empresa nacional de certificacion electronica - ECERT"/>
        <s v="Ruta pass pago peajes de ruta "/>
        <s v="Pac Tarjeta De Credito Visa"/>
        <s v="Transferencia enviada a Ivan Arriagada"/>
        <s v="Pago: Juan Eduardo Castro"/>
        <s v="Orden de compra BlueHosting Ltda"/>
        <s v="Abono Liquidación Deposito A Plazo 071015308032"/>
        <s v="Abono Liquidación Deposito A Plazo 071015308004"/>
        <s v="Pago Deuda Tarjeta Crédito US$ 5645"/>
        <s v="Pago Deuda Tarjeta de Crédito 5645"/>
        <s v="Transferencia recibida de Servicios De Ingenieria Ivan A"/>
        <s v="Impuesto Línea de Sobregiro"/>
        <s v="CLAUDE.AI SUBSCRIPTION"/>
        <s v="Gonzalez Salado y Compañía SPA: Elaboración de Productos de Panadería y Pastelería"/>
        <s v="Amortización Línea de Sobregiro"/>
        <s v="Transferencia desde Línea Sobregiro a Cta. Corrien"/>
        <s v="PAC Tarjeta de Crédito Visa"/>
        <s v="Cargo por captación Depósito a Plazo"/>
        <s v="Abono Liquidación Deposito A Plazo 071015088627"/>
        <s v="CENCOSUD RETAIL S.A."/>
        <s v="Silob laboratorio de puerto montt Ltda."/>
        <s v="Orden de compra 2026-1"/>
        <s v="Nota de Crédito: Análisis Arenas a realizar el 04-05-2026"/>
        <s v="Pago Servicio de Asesoría legal marcas"/>
        <s v="Orden de compra "/>
        <s v="Traspaso De: Servicios De Ingenieria I Van Andres Arriagada Bas"/>
        <s v="Resumen de solicitud de pago"/>
        <s v="Abono Liquidación Deposito A Plazo 071015138331"/>
        <s v="Comision Mensual Plan Ctacte Pyme"/>
        <s v="App-traspaso A: Juan Castro"/>
        <s v="App-traspaso A: Marcelo Caicea Layana"/>
        <s v="App-traspaso A: Contigo Consultores"/>
        <s v="Pago En Tesoreria.cl*"/>
        <s v="App-traspaso A: Ivan Arriagada Bascunan"/>
        <s v="App-traspaso A: Ivan Arriagada Contreras"/>
        <s v="App-traspaso A: Gloria Bascunan"/>
        <s v="Pago Servicio En Mi Banconexión"/>
        <s v="Entel Renta mensual "/>
        <s v="Pago Servicio En Internet"/>
        <s v="App-traspaso A: Marcela Oyarzo"/>
        <s v="Pago: Mercadopago*colom"/>
        <s v="Pago: Entel Oneclick Es"/>
        <s v="Traspaso De: Igor Ivan Venegas"/>
        <s v="Pago: Ibis Budget Provi"/>
        <s v="Abono Liquidación Deposito A Plazo 071015009831"/>
        <s v="Abono Por Captaciones"/>
        <s v="Abono Liquidación Deposito A Plazo 071014993897"/>
        <s v="App-traspaso A: Zoron Eirl"/>
        <s v="Traspaso A: Ivan Arriagada Bascunan"/>
        <s v="Traspaso De: Ivan Arriagada Bascu??n"/>
        <s v="MONTO CANCELADO - Internacional"/>
        <s v=" Ivan Arriagada Bascunan"/>
        <s v=" Ivan Arriagada Contreras"/>
        <s v="Pago Automatico Linea Sobregiro"/>
        <s v="Abono Liquidación Deposito A Plazo 071014993997"/>
        <s v="App-traspaso De: Ivan Andres Arriagada Bascunan"/>
        <s v="PAGO:NOTARIA VILLALOBO"/>
        <s v="Pago: Mercadopago*estac"/>
        <s v="APP-TRASPASO A:Agencia Eudora spa"/>
        <s v="Comision Mensual Plan Ctacte Pyme &#10;"/>
        <s v="Pago Instituciones Previsionales"/>
        <s v="App-traspaso A: Marcelo Caicea Layana &#10;"/>
        <s v="Traspaso De: Ivan Arriagada Bascunan"/>
        <s v="Traspaso De: Ivan Andres Arriagada Bascunan"/>
        <s v="GOOGLE PLAY YOUTUBE LAS CONDES"/>
        <s v="sociedad comercial de repuestos"/>
        <s v="Zoron Eirl &#10;"/>
        <s v="MONTO CANCELADO"/>
        <s v=" Gloria Bascunan &#10;"/>
        <s v="Zoron Eirl"/>
        <s v="Recaudacion Y Pagos De Servicios   *"/>
        <s v="App Traspaso A:Ivan Arriagada Basc"/>
        <s v="App Traspaso A:Ivan Arriagada Cont"/>
        <s v="Interés Línea Sobregiro Cuenta Corriente"/>
        <s v=" Marcela Oyarzo"/>
        <s v="TREN CENTRAL WEBP"/>
        <s v="PASAJEBUS"/>
        <s v="Recichile spa"/>
        <s v="ZOOM.COM 888-799-96  - Internacional"/>
        <s v="Pago Servicio mi Banconexion"/>
        <s v="Pago: Notaria Villalobo"/>
        <s v="Pago: Chilexpress El Be"/>
        <s v="Pago: jumbo El Belloto"/>
        <s v="App-traspaso A: Agencia Eudora Spa"/>
        <s v="App Taspaso  A:Juan Castro"/>
        <s v="Pago A N Spa"/>
        <s v="App Traspaso A:Ivan Arriagada"/>
        <s v="App Traspaso a Ivan Contreras "/>
        <s v="Pago Copec 40130"/>
        <s v="Pagp Quilpue los Carrera "/>
        <s v="Pago Marina viña Mma"/>
        <s v="Pago Proveedores 0608050000 "/>
        <s v="Pago: I.munici.de Valpa"/>
        <s v="App-traspaso A: Maria Francisca"/>
        <s v="App-traspaso A: Estefania Diaz"/>
        <s v="App-traspaso A: Marcelo Caicea"/>
        <s v="Pago Instituciones Previsionales&#10;"/>
        <s v="SODIMAC SA"/>
        <s v="App-traspaso A: Ivan Arriagada"/>
        <s v="Pago: Proveedores 0616021524"/>
        <s v="Cargo Por Captaciones &#10;"/>
        <s v="Pago: Easy Quilpue"/>
        <s v="App-traspaso De: Ivan Arriagada Bascuñán"/>
        <s v="App-traspaso A: Ivan Arriagada Contreras "/>
        <s v="App-traspaso A: Angel Pizarro"/>
        <s v="App-traspaso A: Christel Reyes Vives"/>
        <s v="App-traspaso De: Ivan Arriagada"/>
        <s v="Pago: Proveedores 0608050000"/>
        <s v="APP-TRASPASO A:Eric Fernandez Nune"/>
        <s v="APP-TRASPASO A:Martina Ulloa"/>
        <s v="PAGO:PROVEEDORES 0608050000"/>
        <s v="PAGO:JUMBO EL BELLOTO"/>
        <s v="APP-TRASPASO A:Contigo Consultores"/>
        <s v="APP-TRASPASO A:Marcelo Caicea Laya"/>
        <s v="APP-TRASPASO A:Valeria dorador"/>
        <s v="APP-TRASPASO A:Guiliana cortes"/>
        <s v="PAGO:JINXI LIMITADA"/>
        <s v="APP-TRASPASO A:Katalina Fernandez"/>
        <s v="PAGO:ESTRELLA DEL PACI"/>
        <s v="PAGO:CASA COCINA REGAL"/>
        <s v="APP-TRASPASO A:Juan Castro"/>
        <s v="PAGO:HIP LIDER EL BELL"/>
        <s v="PAGO:FABRICACION DE MA"/>
        <s v="PAGO:MERCADOPAGO*JARAN"/>
        <s v="PAGO:EMPANADAS LA CABA"/>
        <s v="PAGO:PC FACTORY INTERN"/>
        <s v="PAGO:PROVEEDORES 0616021524"/>
        <s v="APP-TRASPASO A:Ivan Arriagada Basc"/>
        <s v="PAGO:MASAVAL SAGR"/>
        <s v="INTERESES SOBREGIRO EN CUENTA CTE."/>
        <s v="APP-TRASPASO A:Gloria Bascunan"/>
        <s v="APP-TRASPASO A:Ivan Arriagada Cont"/>
        <s v="PAGO:PROVEEDORES 0690403005"/>
        <s v="Estefania Díaz"/>
        <s v="Marcelo Caicea Laya"/>
        <s v="Contigo Consultores"/>
        <s v="Clinica los carrera"/>
        <s v="TRASPASO IVAN ARRIAGADA"/>
        <s v="BANCO CHILE LINEA DE CRÉDITO"/>
        <s v="Licencias"/>
        <s v="ENTEL PCS TELECOMUNICACIONES S.A."/>
        <s v="María Francisca Campano"/>
        <s v="Pago proveedores"/>
        <s v="CYF gastronomia"/>
        <s v="Deporte visual producciones spa"/>
        <s v="TESORERIA GENERAL DE LA REPUBLICA"/>
        <s v="Estefanía Díaz"/>
        <s v="Ignacio Puig"/>
        <s v="COMISION MENSUAL CUENTA CTE"/>
        <s v="RUTA PASS"/>
        <s v="GOOGLE PLAY YOUTUBE GO LAS CONDES"/>
        <s v="REMUNERACION LUCAS OLMOS"/>
        <s v="REMUNERACION IVAN ARRIAGADA"/>
        <s v="I MUNICIPALIDAD VALPARASO"/>
        <s v="IMPUESTOS"/>
        <s v="BANCO CHILE"/>
        <s v="IVAN ARRIAGADA CONTRERAS"/>
        <s v="REMUNERACIÓN ENZO BASSAURE"/>
        <s v="RESTAURANT EL NATURISTA"/>
        <s v="METRO LA MONEDA"/>
        <s v="PASAJE BUS"/>
        <s v="KUPOS SPA"/>
        <s v="MINIMARKET LA YAY"/>
        <s v="COMISION BANCO CHILE"/>
        <s v="SABA AEROPUERTO CHILE SPA"/>
        <s v="EFE VALPO V25"/>
        <s v="BIAGGINI GESTION E INVERSION"/>
        <s v="QUARKS INGENIERIA Y SERVICIOS LTDA"/>
        <s v="ESTABLECIMIENTO BARILOCHE SA"/>
        <s v="CENTRAL PARKING SYSTEM SA"/>
        <s v="PEAJE LATERAL"/>
        <s v="COMERCIAL SERPAN SPA"/>
        <s v="CENTRO PUERTO"/>
        <s v="AUTOPISTA DE ANTOFAGASTA"/>
        <s v="ARCOS DORADOS RESTAURANTES DE CHILE SPA"/>
        <s v="REMUNERACIÓN CARLOS GALVEZ"/>
        <s v="GROSSO PIZZA EIRL"/>
        <s v="PAGOS DE SERVICIOS"/>
        <s v="I MUNICIPALIDAD VIÑA DEL MAR"/>
        <s v="COMISION DE COMPRAS EN EXTERIOR"/>
        <s v="FALABELLA RETAIL SA"/>
        <s v="EASY"/>
        <s v="PLASTICOS DE INGENIERIA "/>
        <s v="REMUNERACIÓN IVAN ARRIAGADA"/>
        <s v="PAGOS FINTOC"/>
        <s v="JETSMART"/>
        <s v="SOCIEDAD CONCESIONARIA LITORAL CENTRAL S.A."/>
        <s v="SOCIEDAD CONSECIONARIA LITORAL CENTRAL S.A."/>
        <s v="IWO SPA"/>
        <s v="PERSONAL COMPUTEC FACTORY S.A."/>
        <s v="HORTA Y HORTA LTDA"/>
        <s v="FARMACIA AHUMADA SPA"/>
        <s v="AUTOPISTA DE LOS ANDES SA"/>
        <s v="AUTOPISTA ACONCAGUA"/>
        <s v="SOCIEDAD CONCESIONARIA RUTA DEL ELQUI SA"/>
        <s v="EDUARDO LEIVA ESTACION DE SERVICIOS EIRL"/>
        <s v="SANDRO SCHIAPPACASSE SA"/>
        <s v="GIRO CAJERO AUTOMATICO"/>
        <s v="ADMINISTRADORA DE VENTAS AL DETALLE"/>
        <s v="ACTIVIDADES DE RESTAURANTE Y DE SERVICIO MOVIL DE COMIDAS RAUL ANTONIO"/>
        <s v="HIPERMERCADOS TOTTUS SA"/>
        <s v="AIRBNB"/>
        <s v="IVAN ARRIAGADA BASCUÑAN"/>
        <s v="COMERCIAL ROHEN SPA"/>
        <s v="NOTARIA FUENZALIDA"/>
        <s v="SIMPLIFICAMOS"/>
        <s v="MERCADOLIBRE CHILE LTDA"/>
        <s v="Innovacion y tecnologia empresarial item limitada"/>
        <s v="MERY Y COMPAÑÍA LTDA"/>
        <s v="HAUMEL"/>
        <s v="SII"/>
        <s v="ELECTRONICA RETAIL LIMITADA"/>
        <m/>
      </sharedItems>
    </cacheField>
    <cacheField name="Fecha" numFmtId="164">
      <sharedItems containsDate="1" containsString="0" containsBlank="1">
        <d v="2026-11-05T00:00:00Z"/>
        <d v="2026-10-07T00:00:00Z"/>
        <d v="2026-09-07T00:00:00Z"/>
        <d v="2026-09-06T00:00:00Z"/>
        <d v="2026-09-04T00:00:00Z"/>
        <d v="2026-09-03T00:00:00Z"/>
        <d v="2026-09-02T00:00:00Z"/>
        <d v="2026-09-01T00:00:00Z"/>
        <d v="2026-08-31T00:00:00Z"/>
        <d v="2026-08-28T00:00:00Z"/>
        <d v="2026-08-27T00:00:00Z"/>
        <d v="2026-08-26T00:00:00Z"/>
        <d v="2026-08-25T00:00:00Z"/>
        <d v="2026-08-24T00:00:00Z"/>
        <d v="2026-08-21T00:00:00Z"/>
        <d v="2026-08-20T00:00:00Z"/>
        <d v="2026-08-19T00:00:00Z"/>
        <d v="2026-08-17T00:00:00Z"/>
        <d v="2026-08-14T00:00:00Z"/>
        <d v="2026-08-13T00:00:00Z"/>
        <d v="2026-08-12T00:00:00Z"/>
        <d v="2026-08-11T00:00:00Z"/>
        <d v="2026-08-10T00:00:00Z"/>
        <d v="2026-08-07T00:00:00Z"/>
        <d v="2026-08-06T00:00:00Z"/>
        <d v="2026-08-05T00:00:00Z"/>
        <d v="2026-08-04T00:00:00Z"/>
        <d v="2026-08-03T00:00:00Z"/>
        <d v="2026-08-01T00:00:00Z"/>
        <d v="2026-07-31T00:00:00Z"/>
        <d v="2026-07-30T00:00:00Z"/>
        <d v="2026-07-28T00:00:00Z"/>
        <d v="2026-07-23T00:00:00Z"/>
        <d v="2026-07-22T00:00:00Z"/>
        <d v="2026-07-20T00:00:00Z"/>
        <d v="2026-07-17T00:00:00Z"/>
        <d v="2026-07-15T00:00:00Z"/>
        <d v="2026-07-14T00:00:00Z"/>
        <d v="2026-07-10T00:00:00Z"/>
        <d v="2026-07-08T00:00:00Z"/>
        <d v="2026-07-07T00:00:00Z"/>
        <d v="2026-07-05T00:00:00Z"/>
        <d v="2026-07-01T00:00:00Z"/>
        <d v="2026-06-30T00:00:00Z"/>
        <d v="2026-06-24T00:00:00Z"/>
        <d v="2026-06-22T00:00:00Z"/>
        <d v="2026-06-20T00:00:00Z"/>
        <d v="2026-06-17T00:00:00Z"/>
        <d v="2026-06-14T00:00:00Z"/>
        <d v="2026-06-05T00:00:00Z"/>
        <d v="2026-06-04T00:00:00Z"/>
        <d v="2026-06-02T00:00:00Z"/>
        <d v="2026-06-01T00:00:00Z"/>
        <d v="2026-05-29T00:00:00Z"/>
        <d v="2026-05-25T00:00:00Z"/>
        <d v="2026-05-20T00:00:00Z"/>
        <d v="2026-05-15T00:00:00Z"/>
        <d v="2026-05-14T00:00:00Z"/>
        <d v="2026-05-11T00:00:00Z"/>
        <d v="2026-05-08T00:00:00Z"/>
        <d v="2026-05-06T00:00:00Z"/>
        <d v="2026-05-05T00:00:00Z"/>
        <d v="2026-05-04T00:00:00Z"/>
        <d v="2026-05-03T00:00:00Z"/>
        <d v="2026-05-01T00:00:00Z"/>
        <d v="2026-04-30T00:00:00Z"/>
        <d v="2026-04-23T00:00:00Z"/>
        <d v="2026-04-22T00:00:00Z"/>
        <d v="2026-04-20T00:00:00Z"/>
        <d v="2026-04-17T00:00:00Z"/>
        <d v="2026-04-15T00:00:00Z"/>
        <d v="2026-04-14T00:00:00Z"/>
        <d v="2026-04-13T00:00:00Z"/>
        <d v="2026-04-09T00:00:00Z"/>
        <d v="2026-04-07T00:00:00Z"/>
        <d v="2026-04-06T00:00:00Z"/>
        <d v="2026-04-05T00:00:00Z"/>
        <d v="2026-04-02T00:00:00Z"/>
        <d v="2026-04-01T00:00:00Z"/>
        <d v="2026-03-30T00:00:00Z"/>
        <d v="2026-03-27T00:00:00Z"/>
        <d v="2026-03-25T00:00:00Z"/>
        <d v="2026-03-23T00:00:00Z"/>
        <d v="2026-03-20T00:00:00Z"/>
        <d v="2026-03-13T00:00:00Z"/>
        <d v="2026-03-11T00:00:00Z"/>
        <d v="2026-03-09T00:00:00Z"/>
        <d v="2026-03-05T00:00:00Z"/>
        <d v="2026-03-03T00:00:00Z"/>
        <d v="2026-03-02T00:00:00Z"/>
        <d v="2026-02-27T00:00:00Z"/>
        <d v="2026-02-23T00:00:00Z"/>
        <d v="2026-02-21T00:00:00Z"/>
        <d v="2026-02-19T00:00:00Z"/>
        <d v="2026-02-18T00:00:00Z"/>
        <d v="2026-02-16T00:00:00Z"/>
        <d v="2026-02-13T00:00:00Z"/>
        <d v="2026-02-12T00:00:00Z"/>
        <d v="2026-02-11T00:00:00Z"/>
        <d v="2026-02-10T00:00:00Z"/>
        <d v="2026-02-06T00:00:00Z"/>
        <d v="2026-02-05T00:00:00Z"/>
        <d v="2026-02-04T00:00:00Z"/>
        <d v="2026-02-03T00:00:00Z"/>
        <d v="2026-02-02T00:00:00Z"/>
        <d v="2026-01-29T00:00:00Z"/>
        <d v="2026-01-28T00:00:00Z"/>
        <d v="2026-01-27T00:00:00Z"/>
        <d v="2026-01-26T00:00:00Z"/>
        <d v="2026-01-23T00:00:00Z"/>
        <d v="2026-01-21T00:00:00Z"/>
        <d v="2026-01-20T00:00:00Z"/>
        <d v="2026-01-19T00:00:00Z"/>
        <d v="2026-01-16T00:00:00Z"/>
        <d v="2026-01-15T00:00:00Z"/>
        <d v="2026-01-14T00:00:00Z"/>
        <d v="2026-01-13T00:00:00Z"/>
        <d v="2026-01-12T00:00:00Z"/>
        <d v="2026-01-11T00:00:00Z"/>
        <d v="2026-01-09T00:00:00Z"/>
        <d v="2026-01-07T00:00:00Z"/>
        <d v="2026-01-06T00:00:00Z"/>
        <d v="2026-01-05T00:00:00Z"/>
        <d v="2026-01-02T00:00:00Z"/>
        <d v="2025-12-23T00:00:00Z"/>
        <d v="2025-12-22T00:00:00Z"/>
        <d v="2025-12-19T00:00:00Z"/>
        <d v="2025-12-18T00:00:00Z"/>
        <d v="2025-12-17T00:00:00Z"/>
        <d v="2025-12-16T00:00:00Z"/>
        <d v="2025-12-15T00:00:00Z"/>
        <d v="2025-12-12T00:00:00Z"/>
        <d v="2025-12-11T00:00:00Z"/>
        <d v="2025-12-09T00:00:00Z"/>
        <d v="2025-12-05T00:00:00Z"/>
        <d v="2025-12-04T00:00:00Z"/>
        <d v="2025-12-02T00:00:00Z"/>
        <d v="2025-12-01T00:00:00Z"/>
        <d v="2025-11-27T00:00:00Z"/>
        <d v="2025-11-25T00:00:00Z"/>
        <d v="2025-11-24T00:00:00Z"/>
        <d v="2025-11-21T00:00:00Z"/>
        <d v="2025-11-19T00:00:00Z"/>
        <d v="2025-11-14T00:00:00Z"/>
        <d v="2025-11-10T00:00:00Z"/>
        <d v="2025-11-06T00:00:00Z"/>
        <d v="2025-11-05T00:00:00Z"/>
        <d v="2025-11-04T00:00:00Z"/>
        <d v="2025-11-03T00:00:00Z"/>
        <d v="2025-10-30T00:00:00Z"/>
        <d v="2025-10-29T00:00:00Z"/>
        <d v="2025-10-28T00:00:00Z"/>
        <d v="2025-10-21T00:00:00Z"/>
        <d v="2025-10-10T00:00:00Z"/>
        <d v="2025-10-09T00:00:00Z"/>
        <d v="2025-10-08T00:00:00Z"/>
        <d v="2025-10-07T00:00:00Z"/>
        <d v="2025-10-06T00:00:00Z"/>
        <d v="2025-09-30T00:00:00Z"/>
        <d v="2025-09-17T00:00:00Z"/>
        <d v="2025-09-16T00:00:00Z"/>
        <d v="2025-09-15T00:00:00Z"/>
        <d v="2025-09-12T00:00:00Z"/>
        <d v="2025-09-10T00:00:00Z"/>
        <d v="2025-09-08T00:00:00Z"/>
        <d v="2025-08-27T00:00:00Z"/>
        <d v="2025-08-25T00:00:00Z"/>
        <d v="2025-08-22T00:00:00Z"/>
        <d v="2025-08-21T00:00:00Z"/>
        <d v="2025-08-20T00:00:00Z"/>
        <d v="2025-08-19T00:00:00Z"/>
        <d v="2025-08-18T00:00:00Z"/>
        <d v="2025-08-14T00:00:00Z"/>
        <d v="2025-08-13T00:00:00Z"/>
        <d v="2025-08-12T00:00:00Z"/>
        <d v="2025-08-11T00:00:00Z"/>
        <d v="2025-08-08T00:00:00Z"/>
        <d v="2025-08-06T00:00:00Z"/>
        <d v="2025-08-01T00:00:00Z"/>
        <d v="2025-07-26T00:00:00Z"/>
        <d v="2025-07-23T00:00:00Z"/>
        <d v="2025-07-21T00:00:00Z"/>
        <d v="2025-07-20T00:00:00Z"/>
        <d v="2025-07-19T00:00:00Z"/>
        <d v="2025-07-17T00:00:00Z"/>
        <d v="2025-07-14T00:00:00Z"/>
        <d v="2025-07-12T00:00:00Z"/>
        <d v="2025-07-11T00:00:00Z"/>
        <d v="2025-07-10T00:00:00Z"/>
        <d v="2025-07-09T00:00:00Z"/>
        <d v="2025-07-07T00:00:00Z"/>
        <d v="2025-07-01T00:00:00Z"/>
        <d v="2025-06-30T00:00:00Z"/>
        <d v="2025-06-28T00:00:00Z"/>
        <d v="2025-06-27T00:00:00Z"/>
        <d v="2025-06-26T00:00:00Z"/>
        <d v="2025-06-24T00:00:00Z"/>
        <d v="2025-06-10T00:00:00Z"/>
        <d v="2025-06-05T00:00:00Z"/>
        <d v="2025-06-04T00:00:00Z"/>
        <d v="2025-05-30T00:00:00Z"/>
        <d v="2025-05-26T00:00:00Z"/>
        <d v="2025-03-11T00:00:00Z"/>
        <d v="2025-02-19T00:00:00Z"/>
        <m/>
      </sharedItems>
    </cacheField>
    <cacheField name="Banco" numFmtId="0">
      <sharedItems containsBlank="1">
        <s v="B Chile"/>
        <m/>
        <s v="BCI"/>
        <s v="B Falabella"/>
        <s v="B Chile "/>
        <s v="B Falabella credito"/>
        <s v="Efectivo"/>
      </sharedItems>
    </cacheField>
    <cacheField name="Tipo de pago" numFmtId="0">
      <sharedItems containsBlank="1">
        <s v="Debito"/>
        <m/>
        <s v="Efectivo"/>
        <s v="Credito"/>
      </sharedItems>
    </cacheField>
    <cacheField name="Neto / liquido">
      <sharedItems containsBlank="1" containsMixedTypes="1" containsNumber="1">
        <n v="50000.0"/>
        <n v="1504.0"/>
        <n v="650000.0"/>
        <n v="800.0"/>
        <n v="15620.0"/>
        <n v="88579.83193277312"/>
        <n v="13176.470588235296"/>
        <n v="5327.731092436975"/>
        <n v="2512.6050420168067"/>
        <n v="0.0"/>
        <n v="9243.697478991597"/>
        <n v="10084.03361344538"/>
        <n v="14264.0"/>
        <n v="73924.36974789917"/>
        <n v="1680.6722689075632"/>
        <n v="10688.235294117647"/>
        <n v="22680.672268907565"/>
        <n v="52092.43697478992"/>
        <n v="9332.0"/>
        <n v="13235.9243697479"/>
        <n v="10974.789915966387"/>
        <n v="8806.72268907563"/>
        <n v="15580.840336134455"/>
        <n v="45.378151260504204"/>
        <n v="3433.6134453781515"/>
        <n v="2279.831932773109"/>
        <n v="134445.37815126052"/>
        <n v="6376.0"/>
        <n v="219512.6050420168"/>
        <n v="6714.285714285715"/>
        <n v="667360.0"/>
        <n v="73512.6050420168"/>
        <n v="18541.201680672268"/>
        <n v="71905.88235294117"/>
        <n v="472.2689075630252"/>
        <n v="18320.0"/>
        <n v="20991.0"/>
        <n v="14457.0"/>
        <n v="25882.0"/>
        <n v="20781.0"/>
        <n v="254250.0"/>
        <n v="15126.0"/>
        <n v="416891.0"/>
        <n v="1565.873949579832"/>
        <n v="39.49579831932773"/>
        <n v="4184.0"/>
        <n v="2512.0"/>
        <n v="3361.0"/>
        <n v="80512.0"/>
        <n v="13082.0"/>
        <n v="17318.0"/>
        <n v="77319.0"/>
        <s v="----"/>
        <n v="67059.0"/>
        <n v="68754.6218487395"/>
        <n v="216400.0"/>
        <n v="13783.0"/>
        <n v="333679.8319327731"/>
        <n v="6046.218487394958"/>
        <n v="25639.0"/>
        <n v="300000.0"/>
        <n v="25201.680672268907"/>
        <n v="1638.655462184874"/>
        <n v="126411.76470588236"/>
        <n v="50420.16806722689"/>
        <n v="700000.0"/>
        <n v="40000.0"/>
        <n v="25210.084033613446"/>
        <s v="---"/>
        <n v="17905.0"/>
        <n v="71887.0"/>
        <n v="8776.0"/>
        <n v="5042.0"/>
        <n v="3445.0"/>
        <m/>
        <n v="52663.243697478996"/>
        <n v="107666.38655462186"/>
        <n v="28168.0"/>
        <n v="26805.0"/>
        <n v="420168.06722689077"/>
        <n v="275000.0"/>
        <n v="8131.0"/>
        <n v="71782.0"/>
        <n v="28033.0"/>
        <n v="51800.0"/>
        <n v="41526.05042016807"/>
        <n v="1337339.4957983193"/>
        <n v="4385042.016806723"/>
        <n v="50984.03361344538"/>
        <n v="92584.03361344538"/>
        <n v="31.092436974789916"/>
        <n v="142857.0"/>
        <n v="71148.0"/>
        <n v="1260.0"/>
        <n v="2437.0"/>
        <n v="46935.29411764706"/>
        <n v="840.3361344537816"/>
        <n v="46829.41176470588"/>
        <n v="34122.04201680673"/>
        <n v="87788.23529411765"/>
        <n v="1332674.7899159663"/>
        <n v="504201.6806722689"/>
        <n v="4369747.899159664"/>
        <n v="1008403.3613445378"/>
        <n v="27692.0"/>
        <n v="70378.0"/>
        <n v="1259168.0672268907"/>
        <n v="828473.1092436975"/>
        <n v="4193.0"/>
        <n v="25752.0"/>
        <n v="4765.0"/>
        <n v="1263786.0"/>
        <n v="210631.0"/>
        <n v="70489.91596638656"/>
        <n v="111747.89915966387"/>
        <n v="84017.0"/>
        <n v="521008.40336134454"/>
        <n v="106000.84033613445"/>
        <n v="3402303.361344538"/>
        <n v="23905.042016806725"/>
        <n v="168067.2268907563"/>
        <n v="840336.1344537815"/>
        <n v="108932.7731092437"/>
        <n v="222156.30252100842"/>
        <n v="33480.67226890756"/>
        <n v="16815.126050420167"/>
        <n v="4536.9747899159665"/>
        <n v="252100.84033613445"/>
        <n v="310431.93277310923"/>
        <n v="12605.042016806723"/>
        <n v="109243.6974789916"/>
        <n v="84033.61344537816"/>
        <n v="66051.26050420168"/>
        <n v="28751.0"/>
        <n v="106001.0"/>
        <n v="193095.79831932773"/>
        <n v="233078.1512605042"/>
        <n v="23109.243697478993"/>
        <n v="63025.21008403361"/>
        <n v="49347.899159663866"/>
        <n v="3697.478991596639"/>
        <n v="38031.93277310925"/>
        <n v="48739.49579831933"/>
        <n v="58949.57983193277"/>
        <n v="23870.58823529412"/>
        <n v="3390368.907563025"/>
        <n v="250000.0"/>
        <n v="3390217.6470588236"/>
        <n v="33437.815126050424"/>
        <n v="1685882.3529411766"/>
        <n v="2949065.5462184874"/>
        <n v="821572.2689075631"/>
        <n v="29790.75630252101"/>
        <n v="672268.9075630252"/>
        <n v="171505.04201680672"/>
        <n v="56250.42016806723"/>
        <n v="25205.88235294118"/>
        <n v="190325.21008403364"/>
        <n v="1685572.268907563"/>
        <n v="28414.285714285714"/>
        <n v="688.2352941176471"/>
        <n v="28816.764705882353"/>
        <n v="165313.0"/>
        <n v="1.680672268907563"/>
        <n v="1685573.949579832"/>
        <n v="339000.0"/>
        <n v="176991.59663865546"/>
        <n v="5042.01680672269"/>
        <n v="1792.4369747899161"/>
        <n v="525000.0"/>
        <n v="3339.495798319328"/>
        <n v="4621.848739495798"/>
        <n v="23825.210084033613"/>
        <n v="500000.0"/>
        <n v="4005.042016806723"/>
        <n v="27355.0"/>
        <n v="745.3781512605042"/>
        <n v="33366.38655462185"/>
        <n v="613785.7142857143"/>
        <n v="2481578.9915966387"/>
        <n v="894459.6638655462"/>
        <n v="3376038.655462185"/>
        <n v="1504.201680672269"/>
        <n v="57143.0"/>
        <n v="1680672.268907563"/>
        <n v="2941176.4705882357"/>
        <n v="2936321.848739496"/>
        <n v="4854.621848739496"/>
        <n v="4842.857142857143"/>
        <n v="6.722689075630252"/>
        <n v="2198.3193277310925"/>
        <n v="3338.655462184874"/>
        <n v="2191.5966386554624"/>
        <n v="33503.361344537814"/>
        <n v="588235.2941176471"/>
        <n v="75.63025210084034"/>
        <n v="73.94957983193278"/>
        <n v="272727.0"/>
        <n v="13445.378151260506"/>
        <n v="6848.73949579832"/>
        <n v="47800.0"/>
        <n v="14781.0"/>
        <n v="43459.0"/>
        <n v="4860.0"/>
        <n v="12040.336134453783"/>
        <n v="6201.680672268908"/>
        <n v="506048.0"/>
        <n v="39300.0"/>
        <n v="436974.7899159664"/>
        <n v="8403.361344537816"/>
        <n v="546218.487394958"/>
        <n v="3445378.1512605045"/>
        <n v="17560.0"/>
        <n v="3235.0"/>
        <n v="1.4102E7"/>
        <n v="741000.0"/>
        <n v="29189.915966386558"/>
        <n v="33384.873949579836"/>
        <n v="14747.0"/>
        <n v="1815929.0"/>
        <n v="7563.025210084034"/>
        <n v="3361344.537815126"/>
        <n v="2391993.0"/>
        <n v="862169.0"/>
        <n v="8394.957983193277"/>
        <n v="359663.8655462185"/>
        <n v="330000.0"/>
        <n v="9288.0"/>
        <n v="5033.6134453781515"/>
        <n v="27697.47899159664"/>
        <n v="205015.0"/>
        <n v="15.126050420168069"/>
        <n v="8395.0"/>
        <n v="25613.44537815126"/>
        <n v="701754.0"/>
        <n v="350000.0"/>
        <n v="403361.34453781514"/>
        <n v="336134.4537815126"/>
        <n v="696900.0"/>
        <n v="3240.0"/>
        <n v="43359.0"/>
        <n v="100000.0"/>
        <n v="997000.0"/>
        <n v="25202.0"/>
        <n v="39644.0"/>
        <n v="719585.0"/>
        <n v="5300.0"/>
        <n v="2000.0"/>
        <n v="18306.0"/>
        <n v="30000.0"/>
        <n v="6490.0"/>
        <n v="1980.0"/>
        <n v="23846.4"/>
        <n v="12150.0"/>
        <n v="16520.0"/>
        <n v="3460.0"/>
        <n v="11900.0"/>
        <n v="5508.0"/>
        <n v="20151.0"/>
        <n v="165000.0"/>
        <n v="1700000.0"/>
        <n v="550000.0"/>
        <n v="14733.0"/>
        <n v="33307.0"/>
        <n v="150000.0"/>
        <n v="32.0"/>
        <n v="57249.0"/>
        <n v="292398.0"/>
        <n v="2500000.0"/>
        <n v="513000.0"/>
        <n v="14689.0"/>
        <n v="4738.0"/>
        <n v="128250.0"/>
        <n v="156000.0"/>
        <n v="1158.3"/>
        <n v="1350000.0"/>
        <n v="420168.0"/>
        <n v="10099.89"/>
        <n v="14655.0"/>
        <n v="306666.0"/>
        <n v="28377.54"/>
        <n v="380000.0"/>
        <n v="490000.0"/>
        <n v="2194.0"/>
        <n v="33365.0"/>
        <n v="400000.0"/>
        <n v="452000.0"/>
        <n v="10513.8"/>
        <n v="1044.9"/>
        <n v="4657.5"/>
        <n v="24300.0"/>
        <n v="2146.5"/>
        <n v="1620.0"/>
        <n v="405.0"/>
        <n v="2721.6"/>
        <n v="9766.98"/>
        <n v="6537.0"/>
        <n v="850.5"/>
        <n v="12028.5"/>
        <n v="1458.0"/>
        <n v="891.0"/>
        <n v="44289.0"/>
        <n v="1782.0"/>
        <n v="5454.0"/>
        <n v="5474.79"/>
        <n v="900000.0"/>
        <n v="1215.0"/>
        <n v="90050.13"/>
        <n v="9235.0"/>
        <n v="16798.0"/>
        <n v="79476.0"/>
        <n v="57652.56"/>
        <n v="37970.0"/>
        <n v="25321.0"/>
        <n v="1012.5"/>
        <n v="5167.8"/>
        <n v="37031.0"/>
        <n v="924361.0"/>
        <n v="14136.0"/>
        <n v="26295.84"/>
        <n v="5790.0"/>
        <n v="1588.0"/>
        <n v="6957.9"/>
        <n v="4050.0"/>
        <n v="2268.0"/>
        <n v="3280.5"/>
        <n v="25471.260000000002"/>
        <n v="19325.79"/>
        <n v="22091.94"/>
        <n v="2218.59"/>
        <n v="14256.0"/>
        <n v="7314.3"/>
        <n v="8689.0"/>
        <n v="32344.92"/>
        <n v="22123.53"/>
        <n v="5605.2"/>
        <n v="3912.3"/>
        <n v="30758.94"/>
        <n v="1660.5"/>
        <n v="9260.73"/>
        <n v="14345.1"/>
        <n v="103515.0"/>
        <n v="55000.0"/>
        <n v="80000.0"/>
        <n v="41807.0"/>
        <n v="12141.9"/>
        <n v="588614.0"/>
        <n v="40653.9"/>
        <n v="85847.85"/>
      </sharedItems>
    </cacheField>
    <cacheField name="IVA">
      <sharedItems containsBlank="1" containsMixedTypes="1" containsNumber="1">
        <n v="0.0"/>
        <n v="286.0"/>
        <n v="2967.8"/>
        <n v="16830.168067226892"/>
        <n v="2503.5294117647063"/>
        <n v="1012.2689075630252"/>
        <n v="477.39495798319325"/>
        <n v="1756.3025210084033"/>
        <n v="1915.966386554622"/>
        <n v="2805.0"/>
        <n v="14045.630252100842"/>
        <n v="319.32773109243703"/>
        <n v="2030.764705882353"/>
        <n v="4309.327731092438"/>
        <n v="9897.563025210085"/>
        <n v="1773.08"/>
        <n v="2514.825630252101"/>
        <n v="2085.2100840336134"/>
        <n v="1673.2773109243697"/>
        <n v="2960.3596638655467"/>
        <n v="8.6218487394958"/>
        <n v="652.3865546218487"/>
        <n v="433.16806722689074"/>
        <n v="25544.621848739498"/>
        <n v="1211.0"/>
        <n v="41707.39495798319"/>
        <n v="1275.7142857142858"/>
        <n v="126798.0"/>
        <n v="13967.394957983193"/>
        <n v="3522.8283193277307"/>
        <n v="13662.117647058823"/>
        <n v="89.73109243697479"/>
        <n v="3500.0"/>
        <n v="3989.0"/>
        <n v="2748.0"/>
        <n v="4918.0"/>
        <n v="3948.0"/>
        <n v="2874.0"/>
        <n v="79209.0"/>
        <n v="297.5160504201681"/>
        <n v="7.504201680672269"/>
        <n v="796.0"/>
        <n v="478.0"/>
        <n v="639.0"/>
        <n v="2486.0"/>
        <n v="3290.0"/>
        <n v="14691.0"/>
        <s v="----"/>
        <n v="12741.0"/>
        <n v="13063.378151260504"/>
        <n v="41116.0"/>
        <n v="2619.0"/>
        <n v="63399.16806722689"/>
        <n v="1148.781512605042"/>
        <n v="4871.0"/>
        <n v="4788.319327731092"/>
        <n v="311.3445378151261"/>
        <n v="24018.23529411765"/>
        <n v="9579.83193277311"/>
        <n v="133000.0"/>
        <n v="4789.915966386555"/>
        <s v="---"/>
        <n v="3402.0"/>
        <n v="13659.0"/>
        <n v="1667.0"/>
        <n v="958.0"/>
        <n v="655.0"/>
        <m/>
        <n v="10006.01630252101"/>
        <n v="20456.613445378152"/>
        <n v="5352.0"/>
        <n v="5093.0"/>
        <n v="79831.93277310925"/>
        <n v="1544.89"/>
        <n v="13639.0"/>
        <n v="5326.0"/>
        <n v="9842.0"/>
        <n v="7889.949579831933"/>
        <n v="254094.50420168068"/>
        <n v="833157.9831932773"/>
        <n v="9686.966386554623"/>
        <n v="17590.966386554624"/>
        <n v="5.907563025210084"/>
        <n v="13518.0"/>
        <n v="240.0"/>
        <n v="463.0"/>
        <n v="8917.705882352942"/>
        <n v="159.66386554621852"/>
        <n v="8897.588235294117"/>
        <n v="6483.187983193278"/>
        <n v="16679.764705882353"/>
        <n v="253208.2100840336"/>
        <n v="95798.3193277311"/>
        <n v="830252.1008403362"/>
        <n v="191596.6386554622"/>
        <n v="5261.0"/>
        <n v="13372.0"/>
        <n v="239241.93277310923"/>
        <n v="157409.8907563025"/>
        <n v="797.0"/>
        <n v="4893.0"/>
        <n v="905.0"/>
        <n v="240119.0"/>
        <n v="240119.34"/>
        <n v="40019.89"/>
        <n v="13393.084033613446"/>
        <n v="21232.100840336134"/>
        <n v="15963.0"/>
        <n v="98991.59663865546"/>
        <n v="20140.159663865546"/>
        <n v="646437.6386554623"/>
        <n v="4541.957983193278"/>
        <n v="31932.7731092437"/>
        <n v="159663.8655462185"/>
        <n v="20697.226890756305"/>
        <n v="42209.6974789916"/>
        <n v="6361.327731092437"/>
        <n v="3194.873949579832"/>
        <n v="862.0252100840337"/>
        <n v="47899.15966386555"/>
        <n v="58982.06722689076"/>
        <n v="2394.9579831932774"/>
        <n v="20756.302521008405"/>
        <n v="15966.38655462185"/>
        <n v="12549.73949579832"/>
        <n v="5463.0"/>
        <n v="20140.0"/>
        <n v="36688.20168067227"/>
        <n v="44284.8487394958"/>
        <n v="4390.756302521008"/>
        <n v="11974.789915966387"/>
        <n v="9376.100840336134"/>
        <n v="702.5210084033614"/>
        <n v="7226.067226890757"/>
        <n v="9260.504201680673"/>
        <n v="11200.420168067227"/>
        <n v="4535.411764705883"/>
        <n v="644170.0924369748"/>
        <n v="644141.3529411765"/>
        <n v="6353.184873949581"/>
        <n v="320317.64705882355"/>
        <n v="560322.4537815126"/>
        <n v="156098.731092437"/>
        <n v="5660.2436974789925"/>
        <n v="127731.0924369748"/>
        <n v="32585.95798319328"/>
        <n v="10687.579831932773"/>
        <n v="4789.117647058824"/>
        <n v="36161.789915966394"/>
        <n v="320258.731092437"/>
        <n v="5398.714285714285"/>
        <n v="130.76470588235296"/>
        <n v="5475.185294117648"/>
        <n v="38777.0"/>
        <n v="0.319327731092437"/>
        <n v="320259.0504201681"/>
        <n v="33628.403361344535"/>
        <n v="957.983193277311"/>
        <n v="340.56302521008405"/>
        <n v="99750.0"/>
        <n v="634.5042016806724"/>
        <n v="878.1512605042017"/>
        <n v="4526.789915966387"/>
        <n v="760.9579831932774"/>
        <n v="6417.0"/>
        <n v="141.6218487394958"/>
        <n v="6339.6134453781515"/>
        <n v="116619.28571428572"/>
        <n v="471500.00840336137"/>
        <n v="169947.3361344538"/>
        <n v="641447.3445378152"/>
        <n v="285.7983193277311"/>
        <n v="10857.0"/>
        <n v="319327.731092437"/>
        <n v="558823.5294117648"/>
        <n v="557901.1512605043"/>
        <n v="922.3781512605043"/>
        <n v="920.1428571428572"/>
        <n v="1.277310924369748"/>
        <n v="417.6806722689076"/>
        <n v="634.344537815126"/>
        <n v="416.40336134453787"/>
        <n v="6365.638655462185"/>
        <n v="111764.70588235295"/>
        <n v="14.369747899159664"/>
        <n v="14.050420168067228"/>
        <n v="2554.6218487394963"/>
        <n v="1301.2605042016808"/>
        <n v="9082.0"/>
        <n v="2808.0"/>
        <n v="1899.0"/>
        <n v="1140.0"/>
        <n v="2287.663865546219"/>
        <n v="1178.3193277310925"/>
        <n v="118702.0"/>
        <n v="6275.0"/>
        <n v="83025.21008403362"/>
        <n v="1596.638655462185"/>
        <n v="103781.51260504202"/>
        <n v="654621.8487394959"/>
        <n v="3336.0"/>
        <n v="703.0"/>
        <n v="615.0"/>
        <n v="2679380.0"/>
        <n v="140790.0"/>
        <n v="5546.084033613446"/>
        <n v="6343.126050420169"/>
        <n v="28802.0"/>
        <n v="402597.0"/>
        <n v="1436.9747899159665"/>
        <n v="638655.462184874"/>
        <n v="561085.0"/>
        <n v="202237.0"/>
        <n v="1595.0420168067226"/>
        <n v="68336.13445378152"/>
        <n v="62700.0"/>
        <n v="1765.0"/>
        <n v="956.3865546218487"/>
        <n v="5262.5210084033615"/>
        <n v="2.873949579831933"/>
        <n v="1595.0"/>
        <n v="4866.55462184874"/>
        <n v="76638.65546218488"/>
        <n v="63865.5462184874"/>
        <n v="132411.0"/>
        <n v="760.0"/>
        <n v="181100.0"/>
        <n v="4788.0"/>
        <n v="4294.0"/>
        <n v="5593.6"/>
        <n v="2850.0"/>
        <n v="1292.0"/>
        <n v="3829.0"/>
        <n v="31350.0"/>
        <n v="323000.0"/>
        <n v="2799.0"/>
        <n v="28500.0"/>
        <n v="2134.0"/>
        <n v="475000.0"/>
        <n v="2791.0"/>
        <n v="900.0"/>
        <n v="29640.0"/>
        <n v="57000.0"/>
        <n v="271.7"/>
        <n v="104500.0"/>
        <n v="79832.0"/>
        <n v="2369.11"/>
        <n v="2784.0"/>
        <n v="6656.46"/>
        <n v="72200.0"/>
        <n v="93100.0"/>
        <n v="417.0"/>
        <n v="2466.2"/>
        <n v="245.1"/>
        <n v="1092.5"/>
        <n v="5700.0"/>
        <n v="503.5"/>
        <n v="380.0"/>
        <n v="95.0"/>
        <n v="638.4"/>
        <n v="2291.02"/>
        <n v="1243.0"/>
        <n v="199.5"/>
        <n v="2821.5"/>
        <n v="342.0"/>
        <n v="209.0"/>
        <n v="8415.0"/>
        <n v="418.0"/>
        <n v="1036.0"/>
        <n v="1284.21"/>
        <n v="285.0"/>
        <n v="21122.87"/>
        <n v="1755.0"/>
        <n v="3192.0"/>
        <n v="15100.44"/>
        <n v="13523.44"/>
        <n v="249.0"/>
        <n v="4811.0"/>
        <n v="237.5"/>
        <n v="1212.2"/>
        <n v="949.0"/>
        <n v="175629.0"/>
        <n v="2686.0"/>
        <n v="6168.16"/>
        <n v="1100.0"/>
        <n v="302.0"/>
        <n v="1632.1"/>
        <n v="950.0"/>
        <n v="532.0"/>
        <n v="769.5"/>
        <n v="5974.74"/>
        <n v="4533.21"/>
        <n v="5182.06"/>
        <n v="520.41"/>
        <n v="3344.0"/>
        <n v="1715.7"/>
        <n v="1651.0"/>
        <n v="7587.08"/>
        <n v="5189.47"/>
        <n v="1314.8"/>
        <n v="917.7"/>
        <n v="7215.06"/>
        <n v="389.5"/>
        <n v="2172.27"/>
        <n v="3364.9"/>
        <n v="19668.0"/>
        <n v="10450.0"/>
        <n v="15200.0"/>
        <n v="7943.0"/>
        <n v="2848.1"/>
        <n v="111837.0"/>
        <n v="9536.1"/>
        <n v="20137.15"/>
      </sharedItems>
    </cacheField>
    <cacheField name="Imposiciones/retenciones">
      <sharedItems containsBlank="1" containsMixedTypes="1" containsNumber="1" containsInteger="1">
        <n v="8997.0"/>
        <n v="0.0"/>
        <n v="116962.0"/>
        <n v="45750.0"/>
        <n v="14488.0"/>
        <m/>
        <n v="53982.0"/>
        <n v="7198.0"/>
        <s v="---"/>
        <n v="49484.0"/>
        <n v="25706.0"/>
        <n v="44985.0"/>
        <n v="129630.0"/>
        <n v="61000.0"/>
        <n v="89981.0"/>
        <n v="41591.0"/>
        <n v="89971.0"/>
        <n v="276929.0"/>
        <n v="126960.0"/>
        <n v="101754.0"/>
        <n v="50750.0"/>
        <n v="16959.0"/>
        <n v="127330.0"/>
        <n v="42398.0"/>
        <n v="74385.0"/>
        <n v="21750.0"/>
        <n v="228947.0"/>
        <n v="44467.0"/>
        <n v="58000.0"/>
        <n v="65540.0"/>
        <n v="152632.0"/>
      </sharedItems>
    </cacheField>
    <cacheField name="Total">
      <sharedItems containsBlank="1" containsMixedTypes="1" containsNumber="1">
        <n v="58997.0"/>
        <n v="1790.0"/>
        <n v="766962.0"/>
        <n v="800.0"/>
        <n v="16743.8"/>
        <n v="105410.0"/>
        <n v="15680.0"/>
        <n v="6340.0"/>
        <n v="2990.0"/>
        <n v="67033.0"/>
        <n v="25850.0"/>
        <n v="11000.0"/>
        <n v="12000.0"/>
        <n v="15794.0"/>
        <n v="87970.0"/>
        <n v="2000.0"/>
        <n v="12719.0"/>
        <n v="26990.0"/>
        <n v="61990.0"/>
        <n v="15000.08"/>
        <n v="15750.75"/>
        <n v="13060.0"/>
        <n v="10480.0"/>
        <n v="18541.2"/>
        <n v="54.0"/>
        <n v="4086.0"/>
        <n v="2713.0"/>
        <n v="159990.0"/>
        <n v="10000.0"/>
        <n v="261220.0"/>
        <n v="7990.0"/>
        <n v="794158.0"/>
        <n v="87480.0"/>
        <n v="22064.03"/>
        <n v="85568.0"/>
        <n v="562.0"/>
        <n v="21820.0"/>
        <n v="24980.0"/>
        <n v="17205.0"/>
        <n v="30800.0"/>
        <n v="30000.0"/>
        <n v="300000.0"/>
        <n v="18000.0"/>
        <n v="496100.0"/>
        <n v="1863.39"/>
        <n v="47.0"/>
        <n v="4980.0"/>
        <n v="4000.0"/>
        <n v="95000.0"/>
        <n v="13101.0"/>
        <n v="25000.0"/>
        <n v="92010.0"/>
        <s v="-----"/>
        <n v="79800.0"/>
        <n v="81818.0"/>
        <n v="257516.0"/>
        <n v="20000.0"/>
        <n v="397079.0"/>
        <n v="7195.0"/>
        <n v="30510.0"/>
        <n v="353982.0"/>
        <n v="29990.0"/>
        <n v="1950.0"/>
        <n v="150430.0"/>
        <n v="60000.0"/>
        <n v="833000.0"/>
        <n v="47198.0"/>
        <s v="---"/>
        <n v="21307.0"/>
        <n v="85546.0"/>
        <n v="11620.0"/>
        <n v="6000.0"/>
        <n v="4100.0"/>
        <m/>
        <n v="62669.26"/>
        <n v="128123.0"/>
        <n v="33520.0"/>
        <n v="31898.0"/>
        <n v="500000.0"/>
        <n v="324484.0"/>
        <n v="10535.89"/>
        <n v="85421.0"/>
        <n v="33359.0"/>
        <n v="61642.0"/>
        <n v="49416.0"/>
        <n v="1591434.0"/>
        <n v="5218200.0"/>
        <n v="60671.0"/>
        <n v="110175.0"/>
        <n v="37.0"/>
        <n v="168563.0"/>
        <n v="84666.0"/>
        <n v="1500.0"/>
        <n v="2900.0"/>
        <n v="55853.0"/>
        <n v="1000.0"/>
        <n v="55727.0"/>
        <n v="40605.23"/>
        <n v="104468.0"/>
        <n v="1585883.0"/>
        <n v="600000.0"/>
        <n v="5200000.0"/>
        <n v="1200000.0"/>
        <n v="32953.0"/>
        <n v="83750.0"/>
        <n v="1498410.0"/>
        <n v="985883.0"/>
        <n v="4990.0"/>
        <n v="30645.0"/>
        <n v="5670.0"/>
        <n v="1503905.0"/>
        <n v="1503905.34"/>
        <n v="250650.89"/>
        <n v="83883.0"/>
        <n v="132980.0"/>
        <n v="99980.0"/>
        <n v="620000.0"/>
        <n v="126141.0"/>
        <n v="4048741.0"/>
        <n v="28447.0"/>
        <n v="200000.0"/>
        <n v="1000000.0"/>
        <n v="129630.0"/>
        <n v="264366.0"/>
        <n v="39842.0"/>
        <n v="20010.0"/>
        <n v="5399.0"/>
        <n v="369414.0"/>
        <n v="15000.0"/>
        <n v="130000.0"/>
        <n v="100000.0"/>
        <n v="78601.0"/>
        <n v="34214.0"/>
        <n v="229784.0"/>
        <n v="277363.0"/>
        <n v="27500.0"/>
        <n v="75000.0"/>
        <n v="58724.0"/>
        <n v="4400.0"/>
        <n v="45258.0"/>
        <n v="58000.0"/>
        <n v="70150.0"/>
        <n v="28406.0"/>
        <n v="4034539.0"/>
        <n v="294985.0"/>
        <n v="4034359.0"/>
        <n v="0.0"/>
        <n v="39791.0"/>
        <n v="2006200.0"/>
        <n v="3509388.0"/>
        <n v="977671.0"/>
        <n v="35451.0"/>
        <n v="800000.0"/>
        <n v="204091.0"/>
        <n v="66938.0"/>
        <n v="29995.0"/>
        <n v="226487.0"/>
        <n v="2005831.0"/>
        <n v="33813.0"/>
        <n v="819.0"/>
        <n v="34291.95"/>
        <n v="39300.0"/>
        <n v="2.0"/>
        <n v="2005833.0"/>
        <n v="400000.0"/>
        <n v="210620.0"/>
        <n v="2133.0"/>
        <n v="624750.0"/>
        <n v="3974.0"/>
        <n v="5500.0"/>
        <n v="28352.0"/>
        <n v="589981.0"/>
        <n v="4766.0"/>
        <n v="33772.0"/>
        <n v="887.0"/>
        <n v="39706.0"/>
        <n v="730405.0"/>
        <n v="2953079.0"/>
        <n v="1064407.0"/>
        <n v="4017486.0"/>
        <n v="68000.0"/>
        <n v="2000000.0"/>
        <n v="3500000.0"/>
        <n v="3494223.0"/>
        <n v="5777.0"/>
        <n v="5763.0"/>
        <n v="8.0"/>
        <n v="2616.0"/>
        <n v="3973.0"/>
        <n v="2608.0"/>
        <n v="39869.0"/>
        <n v="700000.0"/>
        <n v="90.0"/>
        <n v="88.0"/>
        <n v="231136.0"/>
        <n v="16000.0"/>
        <n v="8150.0"/>
        <n v="56882.0"/>
        <n v="17589.0"/>
        <n v="14328.0"/>
        <n v="7380.0"/>
        <n v="589971.0"/>
        <n v="43230.0"/>
        <n v="520000.0"/>
        <n v="650000.0"/>
        <n v="4100000.0"/>
        <n v="35000.0"/>
        <n v="3850.0"/>
        <n v="1.678138E7"/>
        <n v="881790.0"/>
        <n v="34736.0"/>
        <n v="39728.0"/>
        <n v="22479.0"/>
        <n v="1539000.0"/>
        <n v="529557.0"/>
        <n v="9000.0"/>
        <n v="4000000.0"/>
        <n v="1064406.0"/>
        <n v="9990.0"/>
        <n v="428000.0"/>
        <n v="392700.0"/>
        <n v="11053.0"/>
        <n v="5990.0"/>
        <n v="32960.0"/>
        <n v="250000.0"/>
        <n v="18.0"/>
        <n v="30480.0"/>
        <n v="299250.0"/>
        <n v="480000.0"/>
        <n v="829311.0"/>
        <n v="116959.0"/>
        <n v="1178100.0"/>
        <n v="39644.0"/>
        <n v="719585.0"/>
        <n v="5300.0"/>
        <n v="22600.0"/>
        <n v="6490.0"/>
        <n v="1980.0"/>
        <n v="29440.0"/>
        <n v="16520.0"/>
        <n v="3460.0"/>
        <n v="11900.0"/>
        <n v="6800.0"/>
        <n v="23980.0"/>
        <n v="196350.0"/>
        <n v="2023000.0"/>
        <n v="550000.0"/>
        <n v="17532.0"/>
        <n v="33307.0"/>
        <n v="178500.0"/>
        <n v="32.0"/>
        <n v="59383.0"/>
        <n v="330000.0"/>
        <n v="305000.0"/>
        <n v="2975000.0"/>
        <n v="28270.0"/>
        <n v="438615.0"/>
        <n v="423282.0"/>
        <n v="39179.0"/>
        <n v="22330.0"/>
        <n v="294621.0"/>
        <n v="58750.0"/>
        <n v="17480.0"/>
        <n v="5638.0"/>
        <n v="128250.0"/>
        <n v="1881953.0"/>
        <n v="185640.0"/>
        <n v="357000.0"/>
        <n v="1430.0"/>
        <n v="654500.0"/>
        <n v="1578947.0"/>
        <n v="28192.0"/>
        <n v="291875.0"/>
        <n v="81196.0"/>
        <n v="85790.0"/>
        <n v="12469.0"/>
        <n v="23063.0"/>
        <n v="400.0"/>
        <n v="262199.0"/>
        <n v="350000.0"/>
        <n v="35034.0"/>
        <n v="17400.0"/>
        <n v="459136.0"/>
        <n v="452200.0"/>
        <n v="230172.0"/>
        <n v="39485.0"/>
        <n v="583100.0"/>
        <n v="28103.0"/>
        <n v="165000.0"/>
        <n v="19200.0"/>
        <n v="17439.0"/>
        <n v="2611.0"/>
        <n v="342000.0"/>
        <n v="386460.0"/>
        <n v="12980.0"/>
        <n v="1290.0"/>
        <n v="5750.0"/>
        <n v="150000.0"/>
        <n v="2650.0"/>
        <n v="31238.0"/>
        <n v="890.0"/>
        <n v="500.0"/>
        <n v="3360.0"/>
        <n v="12058.0"/>
        <n v="7780.0"/>
        <n v="1050.0"/>
        <n v="14850.0"/>
        <n v="1800.0"/>
        <n v="1100.0"/>
        <n v="52704.0"/>
        <n v="2200.0"/>
        <n v="6759.0"/>
        <n v="1052632.0"/>
        <n v="2450.0"/>
        <n v="111173.0"/>
        <n v="375.0"/>
        <n v="10990.0"/>
        <n v="19990.0"/>
        <n v="94576.44"/>
        <n v="21000.0"/>
        <n v="20090.0"/>
        <n v="14170.0"/>
        <n v="71176.0"/>
        <n v="37980.0"/>
        <n v="39209.0"/>
        <n v="30132.0"/>
        <n v="1250.0"/>
        <n v="6380.0"/>
        <n v="1099990.0"/>
        <n v="16822.0"/>
        <n v="32464.0"/>
        <n v="6890.0"/>
        <n v="1890.0"/>
        <n v="8590.0"/>
        <n v="5000.0"/>
        <n v="2800.0"/>
        <n v="4050.0"/>
        <n v="31446.0"/>
        <n v="23859.0"/>
        <n v="40000.0"/>
        <n v="27274.0"/>
        <n v="2739.0"/>
        <n v="17600.0"/>
        <n v="9030.0"/>
        <n v="10340.0"/>
        <n v="19587.0"/>
        <n v="389832.0"/>
        <n v="39932.0"/>
        <n v="27313.0"/>
        <n v="6920.0"/>
        <n v="4830.0"/>
        <n v="37974.0"/>
        <n v="2050.0"/>
        <n v="11433.0"/>
        <n v="17710.0"/>
        <n v="143880.0"/>
        <n v="19272.0"/>
        <n v="65450.0"/>
        <n v="95200.0"/>
        <n v="49750.0"/>
        <n v="14990.0"/>
        <n v="700451.0"/>
        <n v="78151.0"/>
        <n v="36684.0"/>
        <n v="50190.0"/>
        <n v="105985.0"/>
      </sharedItems>
    </cacheField>
    <cacheField name="Proyecto" numFmtId="0">
      <sharedItems containsBlank="1">
        <s v="0.1 Concon - 2594-230-COT26"/>
        <s v="GENERAL"/>
        <s v="0.8 Gestión Social Viña 2424-1046-COT26"/>
        <s v="0.9 Paisajismo Coltauco 3997-148-COT26"/>
        <s v="0.7 Taller coquimbo 2446-584-COT26 &#10;"/>
        <s v="0.3 Licanten 3299-23-L126 &#10;"/>
        <s v="0.5 San Carlos 2724-454-COT26"/>
        <s v="0.4 ESTACION CENTRAL 2434-1-LP26"/>
        <s v="0.5 San Carlos 2724-454-COT26 &#10;"/>
        <s v="14 Atacama 667-2-LE25 Bienes Nacionales"/>
        <s v="GENRAL"/>
        <s v="GENERAL "/>
        <s v="11 Santiago - 857-120-COT25 SENADI"/>
        <s v="06 Litueche - 522-110-cot25 - Georef Litueche"/>
        <s v="13 Santiago - 1051173-120-COT25 -MINSEGPRES"/>
        <s v="04 Santiago - 759-269-COT25 -  subsecre de Justicia"/>
        <s v="09 Santiago - 165-48-COT25 - CNED"/>
        <s v="01 Coquimbo - 2446-825-COT25 - VERMICOMUNA"/>
        <s v="10 Santiago 756-178-COT25 - subsecre de economia"/>
        <s v="07 Santiago - 618923-105-COT25 SSFFAA"/>
        <s v="02 Santiago - 1108660-31-COT25 FUCOA"/>
        <s v="08 Antofagasta - 607698-2-COT25 - MOP"/>
        <s v="INVERSION"/>
        <m/>
      </sharedItems>
    </cacheField>
    <cacheField name="Condición" numFmtId="3">
      <sharedItems containsBlank="1">
        <s v="COSTO"/>
        <s v="GASTO"/>
        <s v="INGRESO NO OPERACIONAL"/>
        <m/>
        <s v="INGRESO OPERACIONAL"/>
      </sharedItems>
    </cacheField>
    <cacheField name="Tipo de flujo" numFmtId="0">
      <sharedItems containsBlank="1">
        <s v="FIJO"/>
        <s v="VARIABLE"/>
        <m/>
        <s v="N/A"/>
      </sharedItems>
    </cacheField>
    <cacheField name="Descripción" numFmtId="0">
      <sharedItems containsBlank="1">
        <s v="Boleta de honorarios - Humberto Alejandro Ojeda"/>
        <s v="Cobro por suscripcion Google LLC 100gb"/>
        <s v="Boleta de honorarios - Angel Hernan Pizarro Pavez"/>
        <s v="PEAJE Plaza: San Carlos Sur"/>
        <s v="PEAJE Plaza: Chillán Norte"/>
        <s v="Combustible Petróleo Diesel"/>
        <s v="Compra Lider articulos varios"/>
        <s v="Compra Lider articulos de ferreteria"/>
        <s v="Tierra con abono natural "/>
        <s v="Set de 5 panos microfibra 30x40cm"/>
        <s v="Asesorias contables y RRHH"/>
        <s v="Pasajes terrestres agosto"/>
        <s v="Compra LAFLOTECOPIA EIRL"/>
        <s v="Compra Comercial Aiping LTD"/>
        <s v="Articulos electrónicos"/>
        <s v="BOU Shortterm Parking"/>
        <s v="Compra Lider articulos de oficina"/>
        <s v="Articulos de Ferreteria"/>
        <s v="Combustible Gasolina 93"/>
        <s v="ZOOM.COM 888-799-96 COMPRAS INT.VI"/>
        <s v="Papel Fotográfico A4 y envío"/>
        <s v="Resma Papel Carta 500hjs y envío"/>
        <s v="OPENAI*CHATGPT SUB - Internacional"/>
        <s v="IMPUESTO DECRETO LEY 3475 TASA 0,066 %"/>
        <s v="COBRO ADM MENSUAL"/>
        <s v="INTERESES ROTATIVOS"/>
        <s v="HP-IMPRESORA"/>
        <s v="Combustible Gasolina"/>
        <s v="Envío Chilexpress"/>
        <s v="Materiales de trabajo"/>
        <s v="LINKEDIN LINKEDIN LAS CONDES"/>
        <s v="ANTHROPIC* CLAUDE S"/>
        <s v="SIMPLEDTE / PIRIOD SANTIAGO"/>
        <s v="COMISIÓN COMPRA INTERNACIONAL"/>
        <s v="Suscripcion mensual "/>
        <s v="Compra jumbo torta viena"/>
        <s v="Alimentación"/>
        <s v="Compra de herramientas "/>
        <s v="Compra de herramientas de construccion MPD"/>
        <s v="Combustible"/>
        <s v="Boleta de honorarios - Gary Henriquez Pinto"/>
        <s v="Compra de Flange 200X200X4MM"/>
        <s v="Compra de materiales de construccion (MPD)"/>
        <s v="GOOGLE *Google One"/>
        <s v="Cobro por suscripcion mensual Google LLC 100Gb"/>
        <s v="Compra de semillas mix "/>
        <s v="Compra de semillas mix medicinal SEMCU"/>
        <s v="Compra de tijeras supermercado lider express"/>
        <s v="Boleta de honorarios - Agustin ignacion miranda"/>
        <s v="Combustible Petróleo"/>
        <s v="Entel"/>
        <s v="Compra Venta Art hogar"/>
        <s v="TRASPASO DEUDA INTERNACIONAL"/>
        <s v="PAGO PAC EN PESOS"/>
        <s v="Combustible "/>
        <s v="Transferencia a: A. Gabrochile Spa (gestión social)"/>
        <s v="DLOCAL*GOOGLE ADS SANTIAGO"/>
        <s v="Boleta de honorarios - Angel Hernan Pizarro"/>
        <s v="Boleta de honorarios - Camila Fernada Morales"/>
        <s v="Compra con Tarjeta de Débito en EASY"/>
        <s v="Compra con Tarjeta de Débito en ESTACIONAMIENTO REPUBLIC"/>
        <s v="Compra con Tarjeta de Débito en SODIMAC"/>
        <s v="DL*GOOGLE ADS SANTIAGO"/>
        <s v="Servicio de Marketing Digital e IA"/>
        <s v="Boleta de honorarios - Catalina Badilla"/>
        <s v="Servicio publico telefonico"/>
        <s v="Pago credito "/>
        <s v="Firma electronica avanzada online de un solo uso"/>
        <m/>
        <s v="Pac Tarjeta De Credito Visa"/>
        <s v="Servicio publico telefonico "/>
        <s v="Transferencia enviada a Ivan Arriagada"/>
        <s v="Boleta de honorarios - Juan Eduardo Castro"/>
        <s v="PEAJE Plaza Lateral San Carlos Sur"/>
        <s v="Plan Emprendedores POWER - BlueHosting Ltda"/>
        <s v="Abono Liquidación Deposito A Plazo 071015308032"/>
        <s v="Abono Liquidación Deposito A Plazo 071015308004"/>
        <s v="Pago Deuda Tarjeta Crédito US$ 5645"/>
        <s v="Pago Deuda Tarjeta de Crédito 5645"/>
        <s v="Transferencia recibida de Servicios De Ingenieria Ivan A"/>
        <s v="Impuesto Línea de Sobregiro"/>
        <s v="CLAUDE.AI SUBSCRIPTION"/>
        <s v="Amortización Línea de Sobregiro"/>
        <s v="Transferencia desde Línea Sobregiro a Cta. Corrien"/>
        <s v="PAC Tarjeta de Crédito Visa"/>
        <s v="Cargo por captación Depósito a Plazo"/>
        <s v="Es factura de entel"/>
        <s v="Abono Liquidación Deposito A Plazo 071015088627"/>
        <s v="Material de trabajo &quot;Palita Ancha Acero&quot;"/>
        <s v="Articulos de oficina"/>
        <s v="Lab. de analisis quim y microbiologico - organismo de inspeccion para muestreo"/>
        <s v="Análisis Arena a realizar el 04-05-2026 31,5 UF"/>
        <s v="Nota de Crédito: Análisis Arenas a realizar el 04-05-2026"/>
        <s v="Pago de Servicios Simple Marcas"/>
        <s v="Pago a traves de shopify"/>
        <s v="Traspaso de fondo banco estado"/>
        <s v="Abono Liquidación Deposito A Plazo 071015138331"/>
        <s v="comision cta corriente"/>
        <s v="Remuneración liquida"/>
        <s v="Traspaso de fondo banco bci"/>
        <s v="Previred"/>
        <s v="Impuesto "/>
        <s v="Mensualidad"/>
        <s v="Acreditacion mercado publico"/>
        <s v="Ammortizacion sueldo"/>
        <s v="Tarjeta de credito FB"/>
        <s v="AMORTIGUACION LINEA CREDITO"/>
        <s v="Remuneracion+E18:O18P18F18:O18A18:O18"/>
        <s v="ENTEL SERVICIOS +P6+A6:O6"/>
        <s v="Linea de credito "/>
        <s v="Remuneracion"/>
        <s v="Restaurant"/>
        <s v="Adelanto de remuneracion"/>
        <s v="AUTOPASE"/>
        <s v="Servicios fijos"/>
        <s v="Devolucion hotel"/>
        <s v="Hotel"/>
        <s v="Comision Mensual Plan Ctacte Pyme marzo"/>
        <s v="Boleta de honorario - remuneración"/>
        <s v="Abono Liquidación Deposito A Plazo 071015009831"/>
        <s v="Imposiciones"/>
        <s v="Servicio mensual"/>
        <s v="Rescate deposito a plazo"/>
        <s v="Abono Liquidación Deposito A Plazo 071014993897"/>
        <s v="Cuota prestamo Gloria Bascuñan"/>
        <s v="Cuota prestamo Ivan Arriagada"/>
        <s v="Tarjeta credito bci"/>
        <s v="Cuota banco falabella"/>
        <s v="Cuota computador"/>
        <s v="Cuota iphone"/>
        <s v="LINEA DE CREDITO UTILIZADA BANCO CHILE"/>
        <s v="Entel movil"/>
        <s v="Recopilacion de deposito a plazo"/>
        <s v="MONTO CANCELADO - Internacional"/>
        <s v="Cuota computador y telefono"/>
        <s v="Cuota credito"/>
        <s v="Pago Automatico Linea Sobregiro"/>
        <s v="Abono Liquidación Deposito A Plazo 071014993997"/>
        <s v="Linea de crédito"/>
        <s v="estacionamiento"/>
        <s v="Documento_18584658k_1774646445"/>
        <s v="Comision Mensual Plan Ctacte Pyme Febrero"/>
        <s v="Boleta 12 juan castro"/>
        <s v="Mantencion tarjeta de credito"/>
        <s v="Interes rotatio"/>
        <s v="IMPUESTOS MENSUAL"/>
        <s v="GOOGLE PLAY YOUTUBE LAS CONDES"/>
        <s v="Bateria del auto"/>
        <s v="DEPOSITO A PLAZO"/>
        <s v="MONTO CANCELADO"/>
        <s v="Cuota prestamo"/>
        <s v="Alimentacion"/>
        <s v="CHILEXPRES"/>
        <s v="Interés Línea Sobregiro Cuenta Corriente"/>
        <s v="Pagina web e identidad corporativa"/>
        <s v="Traslado"/>
        <s v="Retiro de residuos"/>
        <s v="ZOOM.COM 888-799-96"/>
        <s v="Pago Internet "/>
        <s v="Pago telefono "/>
        <s v="SERVICIOS NOTARIALES"/>
        <s v="OPENAI*CHATGPT SUB"/>
        <s v="Disco Duro proyecto"/>
        <s v="Cuadernos, factura extraviada"/>
        <s v="SERVICIOS GRAFICOS"/>
        <s v="Boleta 12 Juan Castro.pdfk"/>
        <s v="Almuerzo"/>
        <s v="Línea de credito banco Chile Ivan Arriagada"/>
        <s v="Línea de crédito banco falabella Iván Arriagada"/>
        <s v="Prestamo berna"/>
        <s v="Pago de prestamo"/>
        <s v="Lavado de auto"/>
        <s v="Pago Proveedores 0608050000 "/>
        <s v="Pago Patente municipal"/>
        <s v="Pago contadores "/>
        <s v="Pago Sueldo "/>
        <s v="IVA (402.597) y previred (126.960)"/>
        <s v="Pago Peajes "/>
        <s v="Inversión"/>
        <s v="IMPOSICIONES IVAN"/>
        <s v="Servicio contable"/>
        <s v="Banco chile personal "/>
        <s v="Pago Linea de crédito"/>
        <s v="Pago de servicios"/>
        <s v="Envio de bateria portatil"/>
        <s v="articulos oficina"/>
        <s v="Transferencia"/>
        <s v="Crédito Iván Arriagada Contreras (4/30)"/>
        <s v="Disco duro"/>
        <s v="Entrega disco duro"/>
        <s v="Pago Angel pizarro Sociologo "/>
        <s v="Pago Christel Reyes Trabajadora Social"/>
        <s v="Peajes"/>
        <s v="Pago Gastos Fijos "/>
        <s v="Pago factura por Servicios "/>
        <s v="Pago servicio"/>
        <s v="Pago Proveedores "/>
        <s v="Compra mouse Empresa"/>
        <s v="Pago de Sevicios Contables "/>
        <s v="Pago IVA+A129:O129"/>
        <s v="Licencia TIME STAMP"/>
        <s v="Pilas"/>
        <s v="Almuerzo, peajes y abarrotes"/>
        <s v="Credenciales"/>
        <s v="Pago Remuneracion Juan"/>
        <s v="Pago previsionales Ivan"/>
        <s v="Factura pcfactory"/>
        <s v="Remunercion Ivan"/>
        <s v="Pago Internet"/>
        <s v="Boleta de fiel cumplimiento GOMAXXA"/>
        <s v="Manual de Marca"/>
        <s v="Cobro interes Cuenta C"/>
        <s v="Pago credito Gloria Bascuñan"/>
        <s v="Pago G.F telefono Empresa"/>
        <s v="Pago Linea de credito"/>
        <s v="Remuneracion Juan"/>
        <s v="Remuneracion Estefania"/>
        <s v="IVA"/>
        <s v="Remuneración ivan"/>
        <s v="Cht gpt, licencia zoom x 2 y comision banco tarjeta de crédito"/>
        <s v="internet - telefono"/>
        <s v="Entel Fijo"/>
        <s v="Relatoria"/>
        <s v="Pago litueche"/>
        <s v="Coffe break"/>
        <s v="Servicio audiovisual"/>
        <s v="3 proyectos juntos"/>
        <s v="INVERSION"/>
        <s v="SERVICIOS AUDIOVISUALES"/>
        <s v="MANTENCION MENSUAL"/>
        <s v="IMPUESTOS SEPTIEMBRE"/>
        <s v="ENTEL FIJO (SON DOS FACTURAS)"/>
        <s v="SUSCRIPCION GOOGLE"/>
        <s v="REMUNERACION LUCAS OLMOS"/>
        <s v="REMUNERACION IVAN ARRIAGADA"/>
        <s v="PATENTE MUNICIPAL SEGUNDO SEMESTRE"/>
        <s v="PAGO F 19 Y 22"/>
        <s v="REMUNERCION IVAN ARRIAGADA"/>
        <s v="PAGO F21"/>
        <s v="IMPUESTOS"/>
        <s v="CONTADORES"/>
        <s v="PAGO F18"/>
        <s v="COMISION CUENTA PYME"/>
        <s v="TRASLAD DE PRUEBAS "/>
        <s v="INTERNET FIJO"/>
        <s v="ENTEL MÓVIL"/>
        <s v="REMUNERACION ENZO BASSAURE"/>
        <s v="METRO"/>
        <s v="PASAJE EN BUS"/>
        <s v="INSCRIPCION DE BUSES"/>
        <s v="ARTICULOS DE LIBRERIA"/>
        <s v="COMISIÓN BANCO CHILE"/>
        <s v="PEAJE"/>
        <s v="PASAJ METRO"/>
        <s v="BAÑO"/>
        <s v="ALIMENTOS"/>
        <s v="ALQUILER DE VEHICULOS"/>
        <s v="CENTRO PUERTO"/>
        <s v="HONORARIOS CARLOS GALVEZ"/>
        <s v="NO DISPONIBLE"/>
        <s v="PATENTE MUNICIPAL"/>
        <s v="COMISIÓN"/>
        <s v="PENDRIVE"/>
        <s v="CONTENEDOR DE RESIDUOS"/>
        <s v="INVERSION CTA CONSORCIO"/>
        <s v="BASUREROS"/>
        <s v="REMUNERACIÓN IVAN ARRIAGADA"/>
        <s v="NO RECOOCIDO"/>
        <s v="PASAJE AEREO ANTOFAGASTA"/>
        <s v="PAGO DE CUENTA (CONFIRMAR CUAL)"/>
        <s v="CONTABILIDAD MENSUAL AGOSTO"/>
        <s v="COMIDA"/>
        <s v="SERVICIOS MOVILES"/>
        <s v="NOTEBOOK"/>
        <s v="ENVIO DOCUMENTOS"/>
        <s v="HOJAS DE OFICIO"/>
        <s v="CAJA DE ENVIO"/>
        <s v="TERMOMETROS"/>
        <s v="EFECTIVO PARA PEAJES"/>
        <s v="HOSPEDAJE"/>
        <s v="INVERSION IVAN ARRIAGADA BASCUÑAN"/>
        <s v="CONTRATO NOTARIAL"/>
        <s v="DESAYUNO"/>
        <s v="OF VIRTUAL"/>
        <s v="PROYECTOR"/>
        <s v="Mica de telefono"/>
        <s v="CARCASA"/>
        <s v="CELULAR"/>
        <s v="DOMINIO Y HOSTING"/>
        <s v="AUDITORIA E IMPUESTOS"/>
        <s v="DEVOLUCIÓN DE IMPUESTOS"/>
        <s v="AUDIFONOS"/>
      </sharedItems>
    </cacheField>
    <cacheField name="Documento 1">
      <sharedItems containsDate="1" containsBlank="1" containsMixedTypes="1">
        <s v="BOLETA DE HONORARIOS ELECTRONICA N°7 HAOV"/>
        <s v="CUENTA GOOGLE JULIO 2026"/>
        <s v="BOLETA DE HONORARIOS ELECTRONICA N°7 AHPP"/>
        <s v="Pago Peajes Ruta 5 Talca-Chillán 06-09-26"/>
        <s v="Pago Peaje Plaza San Carlos 06-09-26"/>
        <s v="ENEX S.A. BOLETA N°1241909"/>
        <s v="LIDER BOLETA 2689791942 Estación central jornada 1"/>
        <s v="LIDER BOLETA 2663056173 Maule Ambiental"/>
        <s v="F_149451576 SODIMAC S.A"/>
        <s v="F_149451577 SODIMAC S.A"/>
        <s v="F_189 ESTUDIO CONTABLE C&amp;V LIMITADA"/>
        <s v="F_10570 KUPOS S.A"/>
        <d v="2026-08-02T00:00:00Z"/>
        <s v="COPEC S.A. BOLETA 3196790"/>
        <s v="LIDER BOLETA 2620638606 Maule Ambiental 1"/>
        <s v="2026-08-27_Movimientos_Tarjeta_5645_SERVICIOS DE INGENIERIA IVAN ANDRES ARRIAGADA BASCUNAN EIRL (9).pdf"/>
        <s v="F_273895 GOSHOP"/>
        <s v="F_20136 DISTRIBUIDORA GALAXIA"/>
        <s v="F_5743514 FALABELLA S.A"/>
        <s v="GABROCHILE SPA F_7799"/>
        <s v="F_17CJFK4L-0004 Invoice Agosto 14"/>
        <s v="B_3452345550 JUMBO 14 AGOSTO"/>
        <s v="SODIMAC S.A F_149003983"/>
        <s v="SODIMAC S.A F_149003977"/>
        <s v="COPEC S.A F_94378"/>
        <s v="BOLETA DE HONORARIOS ELECTRONICA N°76 GEHP"/>
        <s v="Comercializadora y distribuidora de materiales de construccion F_31437"/>
        <s v="Comercializadora y distribuidora de materiales de construccion F_31436"/>
        <s v="CUENTA GOOGLE AGOSTO 10"/>
        <s v="SODIMAC S.A F_148957669"/>
        <s v="SODIMAC S.A F_148957667"/>
        <s v="Lider Express 878984895"/>
        <s v="BOLETA DE HONORARIOS ELECTRONICA N°1 AIML"/>
        <s v="BOLETA 1208397 BALLENARY-SERVICIOS SPA.pdf"/>
        <s v="COPEC S.A F_94002"/>
        <s v="IMPERIAL S.A. F_0020398696"/>
        <s v="F_21653319 ENTEL"/>
        <s v="COMERCIALIZADORA HORIZONTE 7 LIMITADA F_236"/>
        <s v="2026-08-27_Movimientos_Tarjeta_5645_SERVICIOS DE INGENIERIA IVAN ANDRES ARRIAGADA BASCUNAN EIRL (1).pdf"/>
        <s v="COPEC S.A. F_938853"/>
        <s v="Transferencia a: A. Gabrochile Spa (gestión social Viña)"/>
        <s v="IMPERIAL S.A. F_0020387804"/>
        <s v="BOLETA DE HONORARIOS ELECTRONICA N°6 AHPP"/>
        <s v="BOLETA DE HONORARIOS ELECTRONICA N°91 CFMS"/>
        <s v="Cartola_Zoron_cte_julio.pdf"/>
        <s v="2026-08-27_Movimientos_Tarjeta_5645_SERVICIOS DE INGENIERIA IVAN ANDRES ARRIAGADA BASCUNAN EIRL (7).pdf"/>
        <s v="F_49 AGENCIA EUDORA SPA"/>
        <s v="BOLETA DE HONORARIOS ELECTRONICA N°16 CIBB"/>
        <s v="2026-08-27_Movimientos_Tarjeta_5645_SERVICIOS DE INGENIERIA IVAN ANDRES ARRIAGADA BASCUNAN EIRL (8).pdf"/>
        <s v="F_53768820 ENTEL FIJO"/>
        <s v="F_21591468 ENTEL"/>
        <s v="F_16139 LICITALAB - PLAN CRECE JULIO 17"/>
        <s v="F_ 17CJFK4L-0003 Invoice Julio 14"/>
        <s v="COPEC S.A. BOLETA N°438263"/>
        <s v="Pago Peaje Plaza Chillán Norte 10-07-26"/>
        <s v="Actividades de Restaurantes y de Servicio Movil de Comidas BOLETA N°8897"/>
        <s v="ECERT F_3506078"/>
        <s v="BOLETA RUTA PASS N°32312811"/>
        <s v="F_21516300 ENTEL"/>
        <s v="F_21512257 ENTEL FIJO"/>
        <s v="F_43 AGENCIA EUDORA SPA"/>
        <s v="Cartola_Zoron_cte_junio_26.pdf"/>
        <s v="BOLETA DE HONORARIOS ELECTRONICA N°90 CFMS"/>
        <s v="BOLETA DE HONORARIOS ELECTRONICA N°17 JECV"/>
        <s v="BOLETA DE HONORARIOS ELECTRONICA N°14 CIBB"/>
        <s v="Pago Peaje Plaza Chillán Norte 24-06-26"/>
        <s v="Pago Peaje Plaza Lateral San Carlos Sur 24-06-26"/>
        <s v="ENEX S.A. BOLETA N°11931895"/>
        <s v="F_53680645 ENTEL FIJO"/>
        <s v="F_15539 LICITALAB - PLAN CRECE JUNIO 17"/>
        <s v="F_17CJFK4L-0002 Invoice Junio 14"/>
        <s v="F_21418715 ENTEL"/>
        <s v="Orden de Compra BlueHosting Ltda N°441377"/>
        <s v="Cartola_Zoron_cte_mayo_26.pdf"/>
        <s v="BOLETA DE HONORARIOS ELECTRONICA N°4 AHPP"/>
        <s v="BOLETA DE HONORARIOS ELECTRONICA N°89 CFMS"/>
        <s v="BOLETA DE HONORARIOS ELECTRONICA N°16 JECV"/>
        <s v="F_53442241 ENTEL"/>
        <s v="F_15010 LICITALAB - PLAN CRECE MAYO 20"/>
        <s v="2026-08-27_Movimientos_Tarjeta_5645_SERVICIOS DE INGENIERIA IVAN ANDRES ARRIAGADA BASCUNAN EIRL (6).pdf"/>
        <s v="F_ 17CJFK4L-0001 Invoice mayo 14"/>
        <s v="GONZALEZ SALADO Y COMPAÑÍA SPA BOLETA N°476667"/>
        <s v="GONZALEZ SALADO Y COMPAÑÍA SPA BOLETA N°476672"/>
        <s v="F_21345554 ENTEL"/>
        <s v="F_14421 LICITALAB - PLAN CRECE ABRIL 20"/>
        <s v="EASY RETAIL S.A. BOLETA N°263092224"/>
        <s v="F_21339315 ENTEL FIJO"/>
        <s v="CENCOSUD RETAIL S.A. BOLETA N°3367834641"/>
        <s v="SILOB LABORATORIO PUERTO MONTT LTDA. F_60279"/>
        <s v="SILOB LABORATORIO PUERTO MONTT LTDA. F_1979"/>
        <s v="SIMPLEMARCAS - FACTURA DE SERVICIOS_11180"/>
        <s v="SIMPLEMARCAS - FACTURA DE SERVICIOS_11154"/>
        <s v="F_20395 COMERCIAL KALTEMP SpA ABRIL 22"/>
        <s v="2026-08-27_Movimientos_Tarjeta_5645_SERVICIOS DE INGENIERIA IVAN ANDRES ARRIAGADA BASCUNAN EIRL (5).pdf"/>
        <s v="Traspaso de Fondo Banco Estado N°7064130"/>
        <s v="Solicitud de Pago Banco de Chile N°8263163527"/>
        <s v="Cartola_Zoron_cte_abril_26.pdf"/>
        <s v="Comision banco marzo 26"/>
        <s v="Juan Castro N° 12"/>
        <s v="C001600137812984526"/>
        <s v="MVL_EMP260410204412"/>
        <s v="MVL_EMP260410204112"/>
        <s v="Acreditacion MP"/>
        <s v="MVL_EMP260406091212"/>
        <s v="MVL_EMP260406091112"/>
        <s v="MVL_EMP260406091012"/>
        <s v="MVL_EMP2604060909124234002310"/>
        <s v="MVL_EMP2604060908124233998180"/>
        <s v="F 21261283 ENTEL"/>
        <s v="C0016001373673591260406090520"/>
        <s v="F_21288240 ENTEL"/>
        <s v="MVL_EMP2604021228124181545480"/>
        <s v="F_21277428 ENTEL FIJO"/>
        <s v="F_21277428 ENTEL"/>
        <s v="MVL_EMP2603271832124068925700"/>
        <s v="Marcela Oyarzo n° 13"/>
        <s v="almuerzo marzo 26"/>
        <m/>
        <s v="2026-08-27_Movimientos_Tarjeta_5645_SERVICIOS DE INGENIERIA IVAN ANDRES ARRIAGADA BASCUNAN EIRL (4).pdf"/>
        <s v="F_21222454 ENTEL"/>
        <s v="B COMPROBANTE E"/>
        <s v="B COMPROBANTE"/>
        <s v="F 25325 inversiones providencia"/>
        <s v="Comision mensual plan cta cte pyme marzo"/>
        <s v="Cartola_Zoron_cte_mar_26"/>
        <s v="Juan Castro N° 14"/>
        <s v="B N 51B347"/>
        <s v="B N481EF13"/>
        <s v="B N9446-B94EA944A7C0"/>
        <s v="B NF66A09"/>
        <s v="B C1F83FDEA"/>
        <s v="Entel_52816793"/>
        <s v="Cartola_Zoron_cte_mar_26.pdf"/>
        <s v="CT NMBT_5ae52f66-7967-4658-a093-bff796f66a09"/>
        <s v="CT NMBT_17fe71f3-803f-4c5f-9b3f"/>
        <s v="Marcela Oyarzo n° 12"/>
        <s v="Cartola_Zoron_cte_feb_26"/>
        <s v="2026-08-27_Movimientos_Tarjeta_5645_SERVICIOS DE INGENIERIA IVAN ANDRES ARRIAGADA BASCUNAN EIRL (3).pdf"/>
        <s v="B  N00900790082"/>
        <s v="Febrero 26 Internacional_5645_zoron.xlsx"/>
        <s v="Febrero 26 Nacional_5645_zoron.xlsx"/>
        <s v="CT2602121117123420421210"/>
        <s v="CT2602121116123420172210"/>
        <s v="CT2602121119123420293230"/>
        <s v="IVA ENERO 2026"/>
        <s v="COMPROBANTE"/>
        <s v="SIN DOCUMENTO"/>
        <s v="F_13054810_Chilexpres"/>
        <s v="Cartola_Zoron_cte_ene_26"/>
        <s v="Boleta 11"/>
        <s v="Factura"/>
        <s v="CP10566457"/>
        <s v="CP N83719984399"/>
        <s v="Cartola_Zoron_credito_ene_26.pdf"/>
        <s v="F_21011282 ENTEL.pdf"/>
        <s v="F_52728854 ENTEL.pdfk"/>
        <s v="BH N109491"/>
        <s v="F 13031284.pdf"/>
        <s v="extraviada"/>
        <s v="Enero 26 Nacional_5645_zoron.xlsx"/>
        <s v="F 24 EUDORA"/>
        <s v="B 906.pdf"/>
        <s v="Cobertura linea de cred bchile.pdfk"/>
        <s v="Faltaban 10000 para cub.pdf"/>
        <s v="Cobertura linea de cred.pdfk"/>
        <s v="Cobertura prestmos.pdfk"/>
        <s v="B 3467880.pdf"/>
        <s v="B 485837.pdf"/>
        <s v="B 340066634.pdf"/>
        <s v="F-45 BIENES NACIONALES.pdfk"/>
        <s v="F 21011282 ENTEL DIC.pdfk"/>
        <s v="https://drive.google.com/file/d/1XGC-1TCDGH7LLD7zM7a0Jl5QXGCRueP3/view?usp=drive_link|"/>
        <s v=" Pago patente municipal primer semestre 2026.pdf"/>
        <s v="F 20919388 ENTEL NOV.pdfk"/>
        <s v="Maria Francisca Campano N°183.pdf"/>
        <s v="Estefanía Díaz N° 70.pdfk"/>
        <s v="Impuestos+previred dic.pdf"/>
        <s v="B 1769466189.pdf"/>
        <s v="CP N8263112524"/>
        <s v="CT NMBT_cca168b2-9a71-4f3c-9b50-799af9472ff0"/>
        <s v="CT2602110904123405387240"/>
        <s v="CT2602110901123404189790"/>
        <s v="F 144220357 sodimac sa.pdf"/>
        <s v="F41-HOSPITAL LITUECHE (5-6).pdf"/>
        <s v="chilexpres sa 13010111 diciembre.pdfk"/>
        <s v="F 37023908 easy retail.pdfk"/>
        <s v="F 25909458 Censosud retail sa.pdf"/>
        <s v="Juan Castro N° 10.pdfk"/>
        <s v="Discoduro_copiapo_9900.jpeg"/>
        <s v="Unimarc_diciembre_30480.jpegk"/>
        <s v="Angel Pizarro N°2.pdfk"/>
        <s v="Christel Reyes N°97.pdfk"/>
        <s v="Lineadecredito_diciembre_480000.pdf"/>
        <s v="Lineadecredito_diciembre_500000.pdf"/>
        <s v="IvanArriagada_Remuneracion_Diciembre.pdf"/>
        <s v="F-40-MINSEGPRES.pdfk"/>
        <s v="Rutapass_22478465_Diciembre.pdfk"/>
        <s v="F 52511868 ENTEL DICIEMBRE.pdfk"/>
        <s v="F 236 ERICK FERNANDEZ DICIEMBRE.pdf"/>
        <s v="Martina Ulloa N°9.pdf"/>
        <s v="F-38-SUBSECRETARIA DEL MINISTERIO DE JUSTICIA.pdfk"/>
        <s v="F 25782634 cencosud retail.pdf"/>
        <s v="Timestamp_diciembre_5300 (1).jpeg"/>
        <s v="Timestamp_diciembre_5300.jpegk"/>
        <s v="Xinjiltda_diciembre_2000.pdfk"/>
        <s v="Katalinafernande_diciembre_5530.jpegk"/>
        <s v="Katalina fernanez_diciembre_30000.pdfk"/>
        <s v="Estrella del pacifico_Diciembre_6490.pdf"/>
        <s v="CASAcocinaregal_Diciembre_1980.pdf"/>
        <s v="Casapatrona_diciembre_21450.jpegk"/>
        <s v="Credenciales_Diciembre_15000.jpegk"/>
        <s v="Hiperlider_diciembre_16520.pdfk"/>
        <s v="Fabmasas_DICIEMBRE_3460.pdf"/>
        <s v="Jaran_Diciembre_11900.pdfk"/>
        <s v="Cabaña empanadas.pdf"/>
        <s v="Juan Castro N° 10.pdf"/>
        <s v="Factura pc factory 14 atacama.pdfk"/>
        <s v="F-35-HOSPITAL LITUECHE (4-6).pdfk"/>
        <s v="F34- CNED.pdfk"/>
        <s v="F 20838779 ENTEL NOV.pdf"/>
        <s v="FCC 14 atacama.pdfk"/>
        <s v="F 9 EUDORA 78195433.pdfk"/>
        <s v="Dev_Gloria_bascunan.pdf"/>
        <s v="F 52353096 ENTEL.pdf"/>
        <s v="Credito IAC cuota 1,2,3.pdf"/>
        <s v="Linea credito 25-11.pdf"/>
        <s v="Juan Castro N°9.pdf"/>
        <s v="F33-MUNICIPALIDAD DE COQUIMBO.pdf"/>
        <s v="Comision_bchile_NOV.pdfk"/>
        <s v="Estefanía Díaz N° 69.pdf"/>
        <s v="COMPROBANTE "/>
        <s v="closcarrera.pdf"/>
        <s v="F-5-EUDORA-07-11-2025.pdf"/>
        <s v="Pago linea de credito BChile Noviembre.pdf"/>
        <s v="Comprobante Pago Tarjeta TC BChile Noviembre (2).pdf"/>
        <s v="F-20764256-entel pcs.pdf"/>
        <s v="F-20721044-ENTEL.pdf"/>
        <s v="F-51897855-20-09-2025.pdf"/>
        <s v="Maria Francisca Campano N°180.pdfk"/>
        <s v="F27-HOSPITAL LITUECHE(3-6).pdf"/>
        <s v="F 183 CYF 03-11-2025.pdf"/>
        <s v="F-68-DEPORTEVISUAL-03-11-2025.pdf"/>
        <s v="F29-SS ECONOMIA Y EMT.pdf"/>
        <s v="Estefanía Díaz N°68.pdfk"/>
        <s v="F28-SUBSECRETARIA PARA LAS FUERZAS ARMADAS.pdf"/>
        <s v="Boleta 54 Ignacio Puig.pdf"/>
        <s v="Cartola Zoron Octubre.pdfk"/>
        <s v="Iva septiembre.pdf"/>
        <s v="19418116.pdf"/>
        <s v="F-20698619-ENTEL-23-09-2025.pdf"/>
        <s v="3353-3248-0403-06097 (2).jpg"/>
        <s v="3353-3248-0403-06097.jpg"/>
        <s v="Lucas Olmos N°5.pdf"/>
        <s v="Cartola zoron septiembre.pdf"/>
        <s v="11605017.pdf"/>
        <s v="F19-HOSPITAL LITUECHE (1-6).pdf"/>
        <s v="18323207.pdf"/>
        <s v="F21 - FUCOA.pdf"/>
        <s v="F18- BIENESTAR MOP.pdf"/>
        <s v="F-20542410-ENTEL.pdf"/>
        <s v="F-51897855-ENTEL-20-09-2025.pdf"/>
        <s v="Lucas Olmos N°4.pdf"/>
        <s v="3353-3248-0403-06097 (1).jpg"/>
        <s v="Cartola zoron Agosto.pdf"/>
        <s v="Enzo Bassaure N° 34.pdf"/>
        <s v="12873777.pdf"/>
        <s v="1040642.pdf"/>
        <s v="1040492.pdf"/>
        <s v="3752213.pdf"/>
        <s v="F 24111822-Cencosud, retail S.A.-20-08-2025.pdf"/>
        <s v="3163847050.pdf"/>
        <s v="6825102.pdf"/>
        <s v="152878036.pdf"/>
        <s v="F-1690851-ECONORENT-20-08-2025.pdf"/>
        <s v="12528546711.pdf"/>
        <s v="240-9323.pdf"/>
        <s v="153129663.pdf"/>
        <s v="3161497148.pdf"/>
        <s v="Carlos Galvez N°184.pdf"/>
        <s v="NO DISPONIBLE"/>
        <s v="28939.pdf"/>
        <s v="F 5356898-Falabella retail S.A.-13-08-2025.pdf"/>
        <s v="F-35826554-EASY-12-08-2025.pdf"/>
        <s v="F 719568-Plastigen-11-08-2025.pdf"/>
        <s v="F-51943038-ENTEL-24-06-2025.pdf"/>
        <s v="F-20461630-ENTEL-23-07-2025.pdf"/>
        <s v="3451.pdf"/>
        <s v="3301.pdf"/>
        <s v="2470.pdf"/>
        <s v="F 222-9592 PC Factory, 20-07-2025.pdf"/>
        <s v="F 12725601-Chile, Express-19-07-25.pdf"/>
        <s v="3297365.pdf"/>
        <s v="F2 4742103 Cencosud retail S.a.-17-07-2025.pdf"/>
        <s v="F1272-4801-Chile Express-17 07-2025.pdf"/>
        <s v="337945933.pdf"/>
        <s v="14680410.pdf"/>
        <s v="12337.pdf"/>
        <s v="5772043.pdf"/>
        <s v="5262621.pdf"/>
        <s v="5771787.pdf"/>
        <s v="3395890.pdf"/>
        <s v="NO SE CUENTA COMO INGRESO"/>
        <s v="012317.pdf"/>
        <s v="573490025.pdf"/>
        <s v="6320237.pdf"/>
        <s v="5784577.pdf"/>
        <s v="3109645979.pdf"/>
        <s v="18810.pdf"/>
        <s v="573820999.pdf"/>
        <s v="10726855.pdf"/>
        <s v="RCDRZDNTQA.pdf"/>
        <s v="313832.pdf"/>
        <s v="78837.pdf"/>
        <s v="5762773.pdf"/>
        <s v="3382685.pdf"/>
        <s v="12319.pdf"/>
        <s v="1446751.pdf"/>
        <s v="12118.pdf"/>
        <s v="723161.pdf"/>
        <s v="570355793.pdf"/>
        <s v="5773276.pdf"/>
        <s v="567249822.pdf"/>
        <s v="570259287.pdf"/>
        <s v="147343943.pdf"/>
        <s v="5841921.pdf"/>
        <s v="756698382.pdf"/>
        <s v="6072261.pdf"/>
        <s v="F7 8205453 LIDER 26-06-2025.pdf"/>
        <s v="RCYX4KCH89.pdf"/>
        <s v="F-152-SIMPLIFICA-24-06-2025.pdf"/>
        <s v="F-151-SIMPLIFICA-24-06-2025.pdf"/>
        <s v="F-8872319-MERCADOLIBRE-24-06-2025"/>
        <s v="F-1201523-APPLE-24-06-2025.pdf"/>
        <s v="F-51210489-ENTELPCS-24-06-2025.pdf"/>
        <s v="Cartola Falabella Junio.pdf"/>
        <s v="Cartola zoron junio.pdf"/>
        <s v="Cartola Falabella Mayo.pdf"/>
        <s v="Cartola zoron mayo.pdf"/>
        <s v="14680410.pdfk"/>
        <s v="Juan Castro n° 13+A32:O33"/>
      </sharedItems>
    </cacheField>
    <cacheField name="Documento 2" numFmtId="0">
      <sharedItems containsBlank="1">
        <m/>
        <s v="2026-08-27_Movimientos_Tarjeta_5645_SERVICIOS DE INGENIERIA IVAN ANDRES ARRIAGADA BASCUNAN EIRL (1).pdf"/>
        <s v="Gastos 10.07.2026 San Carlos 2724-454-COT26.pdf"/>
        <s v="08-07 Comprobante de Pago Firma Electrónica Estación Central"/>
        <s v="Gastos 24.06.2026.pdf"/>
        <s v="F1979T61-C"/>
        <s v="Portada F_21288240 ENTEL"/>
        <s v="Documento_18584658k_1774645470"/>
        <s v="F_53267436 ENTEL"/>
        <s v="2026-03-02_Movimientos_Tarjeta_5645_SERVICIOS DE INGENIERIA IVAN ANDRES ARRIAGADA BASCUNAN EIRL (1).pdf"/>
        <s v="2026-03-02_Movimientos_Tarjeta_5645_SERVICIOS DE INGENIERIA IVAN ANDRES ARRIAGADA BASCUNAN EIRL (3).pdf"/>
        <s v="CT NMBT_540750b7-a23e-4ec9-b458-de2fb9a8a5f7"/>
        <s v="CP N17969152582c26aa32"/>
        <s v="2026-08-27_Movimientos_Tarjeta_5645_SERVICIOS DE INGENIERIA IVAN ANDRES ARRIAGADA BASCUNAN EIRL (2).pdf"/>
        <s v="2026-03-02_Movimientos_Tarjeta_5645_SERVICIOS DE INGENIERIA IVAN ANDRES ARRIAGADA BASCUNAN EIRL (2).pdf"/>
        <s v="F-46 BIENES NACIONALES.pdf"/>
        <s v="F 20864104 ENTEL NOV.pdf"/>
        <s v="F-48 HOSPITAL LITUECHE (6-6).pdfk"/>
        <s v="Peaje_diciembre_ 1550 (4).jpegk"/>
        <s v="Copec_diciembre_4890.jpegk"/>
        <s v="Garantia FCC.pdf"/>
        <s v="Ruta pass Nov.pdfk"/>
      </sharedItems>
    </cacheField>
    <cacheField name="Documento 3" numFmtId="0">
      <sharedItems containsBlank="1">
        <m/>
        <s v="Peaje_diciembre_1550 (3).jpegk"/>
        <s v="Peaje_diciembre_1550.jpegk"/>
        <s v="Entel fijo Nov.pdf"/>
      </sharedItems>
    </cacheField>
    <cacheField name="Columna 1" numFmtId="0">
      <sharedItems containsBlank="1">
        <s v="x"/>
        <m/>
        <s v="Peaje_diciembre_1550 (2).jpg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v. KPI Constanza" cacheId="0" dataCaption="" colGrandTotals="0" compact="0" compactData="0">
  <location ref="B2:L30" firstHeaderRow="0" firstDataRow="1" firstDataCol="2"/>
  <pivotFields>
    <pivotField name="Documen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tado de conciliación" compact="0" outline="0" multipleItemSelectionAllowed="1" showAll="0">
      <items>
        <item x="0"/>
        <item x="1"/>
        <item x="2"/>
        <item x="3"/>
        <item t="default"/>
      </items>
    </pivotField>
    <pivotField name="n° de docu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Razón so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Banc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po de pago" compact="0" outline="0" multipleItemSelectionAllowed="1" showAll="0">
      <items>
        <item x="0"/>
        <item x="1"/>
        <item x="2"/>
        <item x="3"/>
        <item t="default"/>
      </items>
    </pivotField>
    <pivotField name="Neto / liqui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t="default"/>
      </items>
    </pivotField>
    <pivotField name="IV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  <pivotField name="Imposiciones/retencion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Proyectos / Items" axis="axisRow" compact="0" outline="0" multipleItemSelectionAllowed="1" showAll="0" sortType="ascending">
      <items>
        <item x="23"/>
        <item x="0"/>
        <item x="5"/>
        <item x="7"/>
        <item x="6"/>
        <item x="8"/>
        <item x="4"/>
        <item x="2"/>
        <item x="3"/>
        <item x="17"/>
        <item x="20"/>
        <item x="15"/>
        <item x="13"/>
        <item x="19"/>
        <item x="21"/>
        <item x="16"/>
        <item x="18"/>
        <item x="12"/>
        <item x="14"/>
        <item x="9"/>
        <item x="1"/>
        <item x="11"/>
        <item x="10"/>
        <item x="22"/>
        <item t="default"/>
      </items>
    </pivotField>
    <pivotField name="Condición" axis="axisCol" compact="0" numFmtId="3" outline="0" multipleItemSelectionAllowed="1" showAll="0" sortType="descending" defaultSubtotal="0">
      <items>
        <item x="4"/>
        <item x="2"/>
        <item x="1"/>
        <item x="0"/>
        <item x="3"/>
      </items>
    </pivotField>
    <pivotField name="Tipo de flujo" axis="axisCol" compact="0" outline="0" multipleItemSelectionAllowed="1" showAll="0" sortType="ascending">
      <items>
        <item x="2"/>
        <item x="0"/>
        <item x="3"/>
        <item x="1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Documento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name="Documento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ocumento 3" compact="0" outline="0" multipleItemSelectionAllowed="1" showAll="0">
      <items>
        <item x="0"/>
        <item x="1"/>
        <item x="2"/>
        <item x="3"/>
        <item t="default"/>
      </items>
    </pivotField>
    <pivotField name="Columna 1" compact="0" outline="0" multipleItemSelectionAllowed="1" showAll="0">
      <items>
        <item x="0"/>
        <item x="1"/>
        <item x="2"/>
        <item t="default"/>
      </items>
    </pivotField>
  </pivotFields>
  <rowFields>
    <field x="11"/>
  </rowFields>
  <colFields>
    <field x="12"/>
    <field x="13"/>
  </colFields>
  <dataFields>
    <dataField name="Tabla de Valores Netos" fld="7" baseField="0"/>
  </dataFields>
</pivotTableDefinition>
</file>

<file path=xl/pivotTables/pivotTable2.xml><?xml version="1.0" encoding="utf-8"?>
<pivotTableDefinition xmlns="http://schemas.openxmlformats.org/spreadsheetml/2006/main" name="EV - Alan " cacheId="0" dataCaption="" compact="0" compactData="0">
  <location ref="A1:E13" firstHeaderRow="0" firstDataRow="1" firstDataCol="1"/>
  <pivotFields>
    <pivotField name="Documen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tado de conciliación" compact="0" outline="0" multipleItemSelectionAllowed="1" showAll="0">
      <items>
        <item x="0"/>
        <item x="1"/>
        <item x="2"/>
        <item x="3"/>
        <item t="default"/>
      </items>
    </pivotField>
    <pivotField name="n° de docu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Razón so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Banc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po de pago" compact="0" outline="0" multipleItemSelectionAllowed="1" showAll="0">
      <items>
        <item x="0"/>
        <item x="1"/>
        <item x="2"/>
        <item x="3"/>
        <item t="default"/>
      </items>
    </pivotField>
    <pivotField name="Neto / liqu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t="default"/>
      </items>
    </pivotField>
    <pivotField name="IV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  <pivotField name="Imposiciones/retencion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Proyecto" axis="axisRow" compact="0" outline="0" multipleItemSelectionAllowed="1" showAll="0" sortType="ascending">
      <items>
        <item h="1" x="23"/>
        <item h="1" x="0"/>
        <item h="1" x="5"/>
        <item h="1" x="7"/>
        <item h="1" x="6"/>
        <item h="1" x="8"/>
        <item h="1" x="4"/>
        <item h="1" x="2"/>
        <item h="1" x="3"/>
        <item x="17"/>
        <item x="20"/>
        <item h="1" x="15"/>
        <item x="13"/>
        <item x="19"/>
        <item x="21"/>
        <item x="16"/>
        <item x="18"/>
        <item h="1" x="12"/>
        <item x="14"/>
        <item x="9"/>
        <item h="1" x="1"/>
        <item h="1" x="11"/>
        <item h="1" x="10"/>
        <item h="1" x="22"/>
        <item t="default"/>
      </items>
    </pivotField>
    <pivotField name="Condición" axis="axisCol" compact="0" numFmtId="3" outline="0" multipleItemSelectionAllowed="1" showAll="0" sortType="ascending">
      <items>
        <item x="3"/>
        <item x="0"/>
        <item x="1"/>
        <item x="2"/>
        <item x="4"/>
        <item t="default"/>
      </items>
    </pivotField>
    <pivotField name="Tipo de flujo" compact="0" outline="0" multipleItemSelectionAllowed="1" showAll="0">
      <items>
        <item x="0"/>
        <item x="1"/>
        <item x="2"/>
        <item x="3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Documento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name="Documento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ocumento 3" compact="0" outline="0" multipleItemSelectionAllowed="1" showAll="0">
      <items>
        <item x="0"/>
        <item x="1"/>
        <item x="2"/>
        <item x="3"/>
        <item t="default"/>
      </items>
    </pivotField>
    <pivotField name="Columna 1" compact="0" outline="0" multipleItemSelectionAllowed="1" showAll="0">
      <items>
        <item x="0"/>
        <item x="1"/>
        <item x="2"/>
        <item t="default"/>
      </items>
    </pivotField>
  </pivotFields>
  <rowFields>
    <field x="11"/>
  </rowFields>
  <colFields>
    <field x="12"/>
  </colFields>
  <dataFields>
    <dataField name="SUM of Total" fld="10" baseField="0"/>
  </dataFields>
</pivotTableDefinition>
</file>

<file path=xl/pivotTables/pivotTable3.xml><?xml version="1.0" encoding="utf-8"?>
<pivotTableDefinition xmlns="http://schemas.openxmlformats.org/spreadsheetml/2006/main" name="EV - Alan  2" cacheId="0" dataCaption="" rowGrandTotals="0" colGrandTotals="0" compact="0" compactData="0">
  <location ref="A15:B25" firstHeaderRow="0" firstDataRow="1" firstDataCol="1"/>
  <pivotFields>
    <pivotField name="Documen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tado de conciliación" compact="0" outline="0" multipleItemSelectionAllowed="1" showAll="0">
      <items>
        <item x="0"/>
        <item x="1"/>
        <item x="2"/>
        <item x="3"/>
        <item t="default"/>
      </items>
    </pivotField>
    <pivotField name="n° de docu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Razón so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Banc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po de pago" compact="0" outline="0" multipleItemSelectionAllowed="1" showAll="0">
      <items>
        <item x="0"/>
        <item x="1"/>
        <item x="2"/>
        <item x="3"/>
        <item t="default"/>
      </items>
    </pivotField>
    <pivotField name="Neto / liqui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t="default"/>
      </items>
    </pivotField>
    <pivotField name="IV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  <pivotField name="Imposiciones/retencion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Proyecto" axis="axisRow" compact="0" outline="0" multipleItemSelectionAllowed="1" showAll="0" sortType="ascending">
      <items>
        <item h="1" x="23"/>
        <item h="1" x="0"/>
        <item h="1" x="5"/>
        <item h="1" x="7"/>
        <item h="1" x="6"/>
        <item h="1" x="8"/>
        <item h="1" x="4"/>
        <item h="1" x="2"/>
        <item h="1" x="3"/>
        <item x="17"/>
        <item x="20"/>
        <item h="1" x="15"/>
        <item x="13"/>
        <item x="19"/>
        <item x="21"/>
        <item x="16"/>
        <item x="18"/>
        <item h="1" x="12"/>
        <item x="14"/>
        <item x="9"/>
        <item h="1" x="1"/>
        <item h="1" x="11"/>
        <item h="1" x="10"/>
        <item h="1" x="22"/>
        <item t="default"/>
      </items>
    </pivotField>
    <pivotField name="Condición" axis="axisCol" compact="0" numFmtId="3" outline="0" multipleItemSelectionAllowed="1" showAll="0" sortType="ascending">
      <items>
        <item h="1" x="3"/>
        <item h="1" x="0"/>
        <item h="1" x="1"/>
        <item x="2"/>
        <item x="4"/>
        <item t="default"/>
      </items>
    </pivotField>
    <pivotField name="Tipo de flujo" compact="0" outline="0" multipleItemSelectionAllowed="1" showAll="0">
      <items>
        <item x="0"/>
        <item x="1"/>
        <item x="2"/>
        <item x="3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Documento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name="Documento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ocumento 3" compact="0" outline="0" multipleItemSelectionAllowed="1" showAll="0">
      <items>
        <item x="0"/>
        <item x="1"/>
        <item x="2"/>
        <item x="3"/>
        <item t="default"/>
      </items>
    </pivotField>
    <pivotField name="Columna 1" compact="0" outline="0" multipleItemSelectionAllowed="1" showAll="0">
      <items>
        <item x="0"/>
        <item x="1"/>
        <item x="2"/>
        <item t="default"/>
      </items>
    </pivotField>
  </pivotFields>
  <rowFields>
    <field x="11"/>
  </rowFields>
  <colFields>
    <field x="12"/>
  </colFields>
  <dataFields>
    <dataField name="SUM of Neto / liquido" fld="7" baseField="0"/>
  </dataFields>
</pivotTableDefinition>
</file>

<file path=xl/tables/table1.xml><?xml version="1.0" encoding="utf-8"?>
<table xmlns="http://schemas.openxmlformats.org/spreadsheetml/2006/main" ref="A1:S1429" displayName="Registro" name="Registro" id="1">
  <autoFilter ref="$A$1:$S$1429"/>
  <tableColumns count="19">
    <tableColumn name="Documento" id="1"/>
    <tableColumn name="Estado de conciliación" id="2"/>
    <tableColumn name="n° de documento" id="3"/>
    <tableColumn name="Razón social" id="4"/>
    <tableColumn name="Fecha" id="5"/>
    <tableColumn name="Banco" id="6"/>
    <tableColumn name="Tipo de pago" id="7"/>
    <tableColumn name="Neto / liquido" id="8"/>
    <tableColumn name="IVA" id="9"/>
    <tableColumn name="Imposiciones/retenciones" id="10"/>
    <tableColumn name="Total" id="11"/>
    <tableColumn name="Proyecto" id="12"/>
    <tableColumn name="Condición" id="13"/>
    <tableColumn name="Tipo de flujo" id="14"/>
    <tableColumn name="Descripción" id="15"/>
    <tableColumn name="Documento 1" id="16"/>
    <tableColumn name="Documento 2" id="17"/>
    <tableColumn name="Documento 3" id="18"/>
    <tableColumn name="Columna 1" id="19"/>
  </tableColumns>
  <tableStyleInfo name="Regist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D400"/>
      </a:lt1>
      <a:dk2>
        <a:srgbClr val="000000"/>
      </a:dk2>
      <a:lt2>
        <a:srgbClr val="FFD400"/>
      </a:lt2>
      <a:accent1>
        <a:srgbClr val="4B5563"/>
      </a:accent1>
      <a:accent2>
        <a:srgbClr val="9CA3AF"/>
      </a:accent2>
      <a:accent3>
        <a:srgbClr val="F3F2ED"/>
      </a:accent3>
      <a:accent4>
        <a:srgbClr val="FFD400"/>
      </a:accent4>
      <a:accent5>
        <a:srgbClr val="5B9BD5"/>
      </a:accent5>
      <a:accent6>
        <a:srgbClr val="70AD47"/>
      </a:accent6>
      <a:hlink>
        <a:srgbClr val="4B5563"/>
      </a:hlink>
      <a:folHlink>
        <a:srgbClr val="4B5563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933fmFvCnSPBkWRNk08ZOAIvJm8Z-09s" TargetMode="External"/><Relationship Id="rId194" Type="http://schemas.openxmlformats.org/officeDocument/2006/relationships/hyperlink" Target="https://drive.google.com/open?id=1-7T_O3xyPnCHJgBsk1DvRU-MK06G_OCi" TargetMode="External"/><Relationship Id="rId193" Type="http://schemas.openxmlformats.org/officeDocument/2006/relationships/hyperlink" Target="https://docs.google.com/spreadsheets/u/2/d/1MJTnm7VrQMUsRFB0zKfAbUaLnyiqvMP6/edit" TargetMode="External"/><Relationship Id="rId192" Type="http://schemas.openxmlformats.org/officeDocument/2006/relationships/hyperlink" Target="http://../../../:b:/s/Zoron/IQCd5N34v5J5TJ1melpPQLj5AeVoqSNlylgjtEqiXvWFR_I?e=AdKPde" TargetMode="External"/><Relationship Id="rId191" Type="http://schemas.openxmlformats.org/officeDocument/2006/relationships/hyperlink" Target="https://drive.google.com/open?id=1nCKTFK4lcrR__SzJffJ7VX93D6tvc-5e" TargetMode="External"/><Relationship Id="rId187" Type="http://schemas.openxmlformats.org/officeDocument/2006/relationships/hyperlink" Target="https://drive.google.com/open?id=1nyYFxMHgO7gd57o7-hqlu1CuhNCaCSV7" TargetMode="External"/><Relationship Id="rId186" Type="http://schemas.openxmlformats.org/officeDocument/2006/relationships/hyperlink" Target="http://../../../:b:/s/Zoron/IQA2RpdOyObWQ4OzpgHi-BIzAQw3of_dx8kYBCltzoS5dXw?e=lhggzI" TargetMode="External"/><Relationship Id="rId185" Type="http://schemas.openxmlformats.org/officeDocument/2006/relationships/hyperlink" Target="http://../../../:i:/s/Zoron/IQAtZ216J7WFR6vn6UROSyzaAejEDO_opDWp7x34rAyOXyI?e=xzySMh" TargetMode="External"/><Relationship Id="rId184" Type="http://schemas.openxmlformats.org/officeDocument/2006/relationships/hyperlink" Target="https://drive.google.com/open?id=1HMSZlQzoc4jVkwhjicqrC4dHxxRQUAy7" TargetMode="External"/><Relationship Id="rId189" Type="http://schemas.openxmlformats.org/officeDocument/2006/relationships/hyperlink" Target="https://drive.google.com/open?id=1nyYFxMHgO7gd57o7-hqlu1CuhNCaCSV7" TargetMode="External"/><Relationship Id="rId188" Type="http://schemas.openxmlformats.org/officeDocument/2006/relationships/hyperlink" Target="https://drive.google.com/open?id=1nyYFxMHgO7gd57o7-hqlu1CuhNCaCSV7" TargetMode="External"/><Relationship Id="rId183" Type="http://schemas.openxmlformats.org/officeDocument/2006/relationships/hyperlink" Target="https://drive.google.com/open?id=1nyYFxMHgO7gd57o7-hqlu1CuhNCaCSV7" TargetMode="External"/><Relationship Id="rId182" Type="http://schemas.openxmlformats.org/officeDocument/2006/relationships/hyperlink" Target="https://drive.google.com/open?id=1nyYFxMHgO7gd57o7-hqlu1CuhNCaCSV7" TargetMode="External"/><Relationship Id="rId181" Type="http://schemas.openxmlformats.org/officeDocument/2006/relationships/hyperlink" Target="https://drive.google.com/open?id=1nyYFxMHgO7gd57o7-hqlu1CuhNCaCSV7" TargetMode="External"/><Relationship Id="rId180" Type="http://schemas.openxmlformats.org/officeDocument/2006/relationships/hyperlink" Target="https://drive.google.com/open?id=1nyYFxMHgO7gd57o7-hqlu1CuhNCaCSV7" TargetMode="External"/><Relationship Id="rId176" Type="http://schemas.openxmlformats.org/officeDocument/2006/relationships/hyperlink" Target="http://../../../:i:/s/Zoron/IQC_rk662-4JRoSULqMrFGHFAVveGLDazGDLSFhcNA5mwa8?e=M0ZuAA" TargetMode="External"/><Relationship Id="rId297" Type="http://schemas.openxmlformats.org/officeDocument/2006/relationships/hyperlink" Target="https://drive.google.com/drive/folders/16BqTq_LgKbPrCxzwMpfTN2NHoLA6Bpl4?usp=drive_link" TargetMode="External"/><Relationship Id="rId175" Type="http://schemas.openxmlformats.org/officeDocument/2006/relationships/hyperlink" Target="http://../../../:i:/s/Zoron/IQAR-hEpMM4eTbvtF8PfxcFOARv0sginJGAlsK3pzpiS9LA?e=vbcmGp" TargetMode="External"/><Relationship Id="rId296" Type="http://schemas.openxmlformats.org/officeDocument/2006/relationships/hyperlink" Target="https://drive.google.com/file/d/13ZhzDPEA1QXHD9FLbU83MwmsWOIMQLiH/view?usp=drive_link" TargetMode="External"/><Relationship Id="rId174" Type="http://schemas.openxmlformats.org/officeDocument/2006/relationships/hyperlink" Target="http://../../../:i:/s/Zoron/IQD1VzqVHWSESo1prXdE1pQRAXWnDvtRWYbPU22b5xb0Vm4?e=aPcQ2c" TargetMode="External"/><Relationship Id="rId295" Type="http://schemas.openxmlformats.org/officeDocument/2006/relationships/hyperlink" Target="https://drive.google.com/drive/folders/16BqTq_LgKbPrCxzwMpfTN2NHoLA6Bpl4?usp=drive_link" TargetMode="External"/><Relationship Id="rId173" Type="http://schemas.openxmlformats.org/officeDocument/2006/relationships/hyperlink" Target="http://../../../:i:/s/Zoron/IQAx3T7bubh5SLmH1kdtdMvSAYJlgx3elNRkltnedqpjcP8?e=OoIHEn" TargetMode="External"/><Relationship Id="rId294" Type="http://schemas.openxmlformats.org/officeDocument/2006/relationships/hyperlink" Target="https://drive.google.com/open?id=1SssiCoFTZC0myNAvaxfUN_It2eseeB-4" TargetMode="External"/><Relationship Id="rId179" Type="http://schemas.openxmlformats.org/officeDocument/2006/relationships/hyperlink" Target="https://drive.google.com/open?id=1nyYFxMHgO7gd57o7-hqlu1CuhNCaCSV7" TargetMode="External"/><Relationship Id="rId178" Type="http://schemas.openxmlformats.org/officeDocument/2006/relationships/hyperlink" Target="https://drive.google.com/open?id=1nyYFxMHgO7gd57o7-hqlu1CuhNCaCSV7" TargetMode="External"/><Relationship Id="rId299" Type="http://schemas.openxmlformats.org/officeDocument/2006/relationships/hyperlink" Target="https://drive.google.com/drive/folders/16BqTq_LgKbPrCxzwMpfTN2NHoLA6Bpl4?usp=drive_link" TargetMode="External"/><Relationship Id="rId177" Type="http://schemas.openxmlformats.org/officeDocument/2006/relationships/hyperlink" Target="https://drive.google.com/open?id=1nyYFxMHgO7gd57o7-hqlu1CuhNCaCSV7" TargetMode="External"/><Relationship Id="rId298" Type="http://schemas.openxmlformats.org/officeDocument/2006/relationships/hyperlink" Target="https://drive.google.com/file/d/1RabJRmASaoh0vA1QFLZ6gug0B_QD3ypN/view?usp=drive_link" TargetMode="External"/><Relationship Id="rId198" Type="http://schemas.openxmlformats.org/officeDocument/2006/relationships/hyperlink" Target="http://../../../:i:/s/Zoron/IQDwXiA3g8_qTrVHRDNXLeNPAdm_5l4x4zRO5c9wyBwHvJA?e=IH96Ce" TargetMode="External"/><Relationship Id="rId197" Type="http://schemas.openxmlformats.org/officeDocument/2006/relationships/hyperlink" Target="https://drive.google.com/drive/folders/16BqTq_LgKbPrCxzwMpfTN2NHoLA6Bpl4" TargetMode="External"/><Relationship Id="rId196" Type="http://schemas.openxmlformats.org/officeDocument/2006/relationships/hyperlink" Target="https://drive.google.com/open?id=1zK85sVIFSTNTfEC8J0lVnan4W6SL3Uv4" TargetMode="External"/><Relationship Id="rId195" Type="http://schemas.openxmlformats.org/officeDocument/2006/relationships/hyperlink" Target="https://docs.google.com/spreadsheets/u/2/d/1ij4onlBGcx01j1Ysd_7kK59W2brxpI8N/edit" TargetMode="External"/><Relationship Id="rId199" Type="http://schemas.openxmlformats.org/officeDocument/2006/relationships/hyperlink" Target="https://docs.google.com/:i:/s/Zoron/IQC3CoV2GLXRTawEQbbxNnd2Af2EeILz7xhfpDkK8FGafio?e=dxXMU8" TargetMode="External"/><Relationship Id="rId150" Type="http://schemas.openxmlformats.org/officeDocument/2006/relationships/hyperlink" Target="https://drive.google.com/open?id=1bfxFHHhrO9hhjGGCXS7YLmHLII6XihA-" TargetMode="External"/><Relationship Id="rId271" Type="http://schemas.openxmlformats.org/officeDocument/2006/relationships/hyperlink" Target="https://drive.google.com/drive/folders/16BqTq_LgKbPrCxzwMpfTN2NHoLA6Bpl4" TargetMode="External"/><Relationship Id="rId392" Type="http://schemas.openxmlformats.org/officeDocument/2006/relationships/hyperlink" Target="https://drive.google.com/drive/folders/14R1NeCH2HtlXR4NvveKYuneH7WQKrzn0?usp=drive_link" TargetMode="External"/><Relationship Id="rId270" Type="http://schemas.openxmlformats.org/officeDocument/2006/relationships/hyperlink" Target="https://drive.google.com/file/d/1xhobmNlyTnucE1DSF4Fwpwmi0rKqc591/view?usp=drive_link" TargetMode="External"/><Relationship Id="rId391" Type="http://schemas.openxmlformats.org/officeDocument/2006/relationships/hyperlink" Target="https://drive.google.com/file/d/13orlIHyzs11OGIXeiXgkSZOdudoHiCBV/view?usp=drive_link" TargetMode="External"/><Relationship Id="rId390" Type="http://schemas.openxmlformats.org/officeDocument/2006/relationships/hyperlink" Target="https://drive.google.com/drive/folders/1AWxCDH3IKyIpQq6Nql2TpRu98geLknHn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5cL8iVd-gVk3608m3eHMwDoHoYqqExNJ/view?usp=drive_link" TargetMode="External"/><Relationship Id="rId3" Type="http://schemas.openxmlformats.org/officeDocument/2006/relationships/hyperlink" Target="https://drive.google.com/file/d/1WJ6d8e0xWLlXkkqu3BlV6V4we0g34Glv/view?usp=drive_link" TargetMode="External"/><Relationship Id="rId149" Type="http://schemas.openxmlformats.org/officeDocument/2006/relationships/hyperlink" Target="https://drive.google.com/file/d/122w9PWObSKUyuf5dT3NVCf6vcki0waiP/view?usp=drive_link" TargetMode="External"/><Relationship Id="rId4" Type="http://schemas.openxmlformats.org/officeDocument/2006/relationships/hyperlink" Target="https://drive.google.com/open?id=1r9soF6qis8MtK1IduE87ub-BglIr-b_J" TargetMode="External"/><Relationship Id="rId148" Type="http://schemas.openxmlformats.org/officeDocument/2006/relationships/hyperlink" Target="https://drive.google.com/file/d/1_7hiRVqPkfioik5njeX9-tBBha7GyGv7/view" TargetMode="External"/><Relationship Id="rId269" Type="http://schemas.openxmlformats.org/officeDocument/2006/relationships/hyperlink" Target="https://drive.google.com/drive/folders/16BqTq_LgKbPrCxzwMpfTN2NHoLA6Bpl4" TargetMode="External"/><Relationship Id="rId9" Type="http://schemas.openxmlformats.org/officeDocument/2006/relationships/hyperlink" Target="https://drive.google.com/open?id=1b0gKL6V2B1zgtJDnHXluVWVBpPnBepU6" TargetMode="External"/><Relationship Id="rId143" Type="http://schemas.openxmlformats.org/officeDocument/2006/relationships/hyperlink" Target="https://drive.google.com/file/d/1opJoJwOXmtH1p_U8o-hYGDjQAYuBHDtb/view?usp=drive_link" TargetMode="External"/><Relationship Id="rId264" Type="http://schemas.openxmlformats.org/officeDocument/2006/relationships/hyperlink" Target="https://drive.google.com/file/d/1dm6y7kBYPh1BdZGsPlNfI47OblIkdiAn/view?usp=drive_link" TargetMode="External"/><Relationship Id="rId385" Type="http://schemas.openxmlformats.org/officeDocument/2006/relationships/hyperlink" Target="https://drive.google.com/file/d/1965Kwd9gQi7iDhCRU7yZlzG15Ojg9_tn/view?usp=drive_link" TargetMode="External"/><Relationship Id="rId142" Type="http://schemas.openxmlformats.org/officeDocument/2006/relationships/hyperlink" Target="https://drive.google.com/open?id=14jvVLATjGnmURC3EjP1-pVWrpuxsHvJ4" TargetMode="External"/><Relationship Id="rId263" Type="http://schemas.openxmlformats.org/officeDocument/2006/relationships/hyperlink" Target="https://drive.google.com/file/d/191z1QGPFd0ISQigKgSj6rixRMZCLIbFg/view?usp=drive_link" TargetMode="External"/><Relationship Id="rId384" Type="http://schemas.openxmlformats.org/officeDocument/2006/relationships/hyperlink" Target="https://drive.google.com/drive/folders/1eR2JJ6QCx7pHh-D11koOUQucBKQGOmDm?usp=drive_link" TargetMode="External"/><Relationship Id="rId141" Type="http://schemas.openxmlformats.org/officeDocument/2006/relationships/hyperlink" Target="https://drive.google.com/file/d/18_sZXRj_YnqrWTv0UNSXRVQ491tDd8oo/view?usp=drivesdk" TargetMode="External"/><Relationship Id="rId262" Type="http://schemas.openxmlformats.org/officeDocument/2006/relationships/hyperlink" Target="https://drive.google.com/file/d/19WUGk-47D9COwCirxC8_6CFTHqUXCgTT/view?usp=drive_link" TargetMode="External"/><Relationship Id="rId383" Type="http://schemas.openxmlformats.org/officeDocument/2006/relationships/hyperlink" Target="https://drive.google.com/file/d/1mnKFvOTULpXHTk0T29mNsqBKgtr_-yo0/view?usp=drive_link" TargetMode="External"/><Relationship Id="rId140" Type="http://schemas.openxmlformats.org/officeDocument/2006/relationships/hyperlink" Target="https://drive.google.com/open?id=1L4vFcm4RorOw30dRHvEhPHFxBw6Baf2f" TargetMode="External"/><Relationship Id="rId261" Type="http://schemas.openxmlformats.org/officeDocument/2006/relationships/hyperlink" Target="https://drive.google.com/drive/folders/16BqTq_LgKbPrCxzwMpfTN2NHoLA6Bpl4" TargetMode="External"/><Relationship Id="rId382" Type="http://schemas.openxmlformats.org/officeDocument/2006/relationships/hyperlink" Target="https://drive.google.com/drive/folders/1FFChEzMA1ub726QQDcfMkuyHoNdJoIYt?usp=drive_link" TargetMode="External"/><Relationship Id="rId5" Type="http://schemas.openxmlformats.org/officeDocument/2006/relationships/hyperlink" Target="https://drive.google.com/open?id=1C_sZehKcAJUWguBJCbMtXC5L-CQ8ZxJ8" TargetMode="External"/><Relationship Id="rId147" Type="http://schemas.openxmlformats.org/officeDocument/2006/relationships/hyperlink" Target="https://drive.google.com/file/d/1royi0khgf3o61DuhY7F1HCkXqkiSgdIp/view" TargetMode="External"/><Relationship Id="rId268" Type="http://schemas.openxmlformats.org/officeDocument/2006/relationships/hyperlink" Target="https://drive.google.com/file/d/164EsjM9qFVR-4KCVInVPoPcxcUdEY_AP/view?usp=drive_link" TargetMode="External"/><Relationship Id="rId389" Type="http://schemas.openxmlformats.org/officeDocument/2006/relationships/hyperlink" Target="https://drive.google.com/file/d/1ZhSHpZyZ2RL4AHwGD5xTikbt4EF-kf3T/view?usp=drive_link" TargetMode="External"/><Relationship Id="rId6" Type="http://schemas.openxmlformats.org/officeDocument/2006/relationships/hyperlink" Target="https://drive.google.com/open?id=1C_sZehKcAJUWguBJCbMtXC5L-CQ8ZxJ8" TargetMode="External"/><Relationship Id="rId146" Type="http://schemas.openxmlformats.org/officeDocument/2006/relationships/hyperlink" Target="https://drive.google.com/open?id=19DRG28KpjNGqJZMMZoriOjBjp4yu-n7L" TargetMode="External"/><Relationship Id="rId267" Type="http://schemas.openxmlformats.org/officeDocument/2006/relationships/hyperlink" Target="https://drive.google.com/file/d/177_rUnYKh-RscrS5E-pqCLww0UjGWpI2/view?usp=drive_link" TargetMode="External"/><Relationship Id="rId388" Type="http://schemas.openxmlformats.org/officeDocument/2006/relationships/hyperlink" Target="https://drive.google.com/drive/folders/18ojxrnTVcVVZo3C1n-CV_svEae7-a_kV?usp=drive_link" TargetMode="External"/><Relationship Id="rId7" Type="http://schemas.openxmlformats.org/officeDocument/2006/relationships/hyperlink" Target="https://drive.google.com/open?id=1JFDQz8CINFfPsc1QOQ9aoHpa6TAvRUMS" TargetMode="External"/><Relationship Id="rId145" Type="http://schemas.openxmlformats.org/officeDocument/2006/relationships/hyperlink" Target="https://drive.google.com/open?id=19PkPebbJx38zEQl8Yu8Kcqq45Mv9Iy7R" TargetMode="External"/><Relationship Id="rId266" Type="http://schemas.openxmlformats.org/officeDocument/2006/relationships/hyperlink" Target="https://drive.google.com/file/d/1b-I3EKZtDFRqcrMGfKnJOJh_hDT3Zx5l/view?usp=drive_link" TargetMode="External"/><Relationship Id="rId387" Type="http://schemas.openxmlformats.org/officeDocument/2006/relationships/hyperlink" Target="https://drive.google.com/file/d/1UuzD8AEfRlq-b7teYF2P_-MjEy29eC_t/view?usp=drive_link" TargetMode="External"/><Relationship Id="rId8" Type="http://schemas.openxmlformats.org/officeDocument/2006/relationships/hyperlink" Target="https://drive.google.com/open?id=1TTbAbo8s5uI2xsFsPNjPIvD_WzkirYPW" TargetMode="External"/><Relationship Id="rId144" Type="http://schemas.openxmlformats.org/officeDocument/2006/relationships/hyperlink" Target="https://drive.google.com/open?id=15mxlnG0YOO4Z0jvsXpE009fvL3XwW8-o" TargetMode="External"/><Relationship Id="rId265" Type="http://schemas.openxmlformats.org/officeDocument/2006/relationships/hyperlink" Target="https://drive.google.com/file/d/1XGC-1TCDGH7LLD7zM7a0Jl5QXGCRueP3/view?usp=drive_link%7C" TargetMode="External"/><Relationship Id="rId386" Type="http://schemas.openxmlformats.org/officeDocument/2006/relationships/hyperlink" Target="https://drive.google.com/drive/folders/1eR2JJ6QCx7pHh-D11koOUQucBKQGOmDm?usp=drive_link" TargetMode="External"/><Relationship Id="rId260" Type="http://schemas.openxmlformats.org/officeDocument/2006/relationships/hyperlink" Target="https://drive.google.com/open?id=1bOfPG5TgrlffuRVyMbxWZozzwT-V4lyW&amp;usp=drive_copy" TargetMode="External"/><Relationship Id="rId381" Type="http://schemas.openxmlformats.org/officeDocument/2006/relationships/hyperlink" Target="https://drive.google.com/file/d/1Mnbyirfq7_6fr-tZWLDf9TQOwW3blYdk/view?usp=drive_link" TargetMode="External"/><Relationship Id="rId380" Type="http://schemas.openxmlformats.org/officeDocument/2006/relationships/hyperlink" Target="https://drive.google.com/drive/folders/1eR2JJ6QCx7pHh-D11koOUQucBKQGOmDm?usp=drive_link" TargetMode="External"/><Relationship Id="rId139" Type="http://schemas.openxmlformats.org/officeDocument/2006/relationships/hyperlink" Target="https://drive.google.com/open?id=1eCQKQsUKac6AEN5lInQhajpWw6mB4KGt" TargetMode="External"/><Relationship Id="rId138" Type="http://schemas.openxmlformats.org/officeDocument/2006/relationships/hyperlink" Target="https://drive.google.com/open?id=1eCQKQsUKac6AEN5lInQhajpWw6mB4KGt" TargetMode="External"/><Relationship Id="rId259" Type="http://schemas.openxmlformats.org/officeDocument/2006/relationships/hyperlink" Target="https://drive.google.com/open?id=1zH35VpcYFfT8mgDX9XqRcYCgjxCn7qM4&amp;usp=drive_copy" TargetMode="External"/><Relationship Id="rId137" Type="http://schemas.openxmlformats.org/officeDocument/2006/relationships/hyperlink" Target="https://drive.google.com/file/d/1_06RtKX7tsehAfn_szWVjPA09OMpaYeE/view?usp=drive_link" TargetMode="External"/><Relationship Id="rId258" Type="http://schemas.openxmlformats.org/officeDocument/2006/relationships/hyperlink" Target="https://drive.google.com/open?id=1KEwIqtcHG6uemIGL-ZC6zITwAiHlmY6B&amp;usp=drive_copy" TargetMode="External"/><Relationship Id="rId379" Type="http://schemas.openxmlformats.org/officeDocument/2006/relationships/hyperlink" Target="https://drive.google.com/file/d/1CSHQzpeb6Y2c0oc-uM5kDhPpieiGnwjk/view?usp=drive_link" TargetMode="External"/><Relationship Id="rId132" Type="http://schemas.openxmlformats.org/officeDocument/2006/relationships/hyperlink" Target="https://drive.google.com/open?id=1eCQKQsUKac6AEN5lInQhajpWw6mB4KGt" TargetMode="External"/><Relationship Id="rId253" Type="http://schemas.openxmlformats.org/officeDocument/2006/relationships/hyperlink" Target="https://drive.google.com/file/d/1dtgL2us3L9VM5dHoaNG73cq9V6KdZ_bb/view?usp=drive_link" TargetMode="External"/><Relationship Id="rId374" Type="http://schemas.openxmlformats.org/officeDocument/2006/relationships/hyperlink" Target="https://drive.google.com/file/d/1DYTv1StyRkFvoucZCnwNGdStlbmLdePX/view?usp=drive_link" TargetMode="External"/><Relationship Id="rId495" Type="http://schemas.openxmlformats.org/officeDocument/2006/relationships/hyperlink" Target="https://drive.google.com/drive/folders/1V6cdMMkRq-1rWwH1Rsgxxjv0KsV3W0eo?usp=drive_link" TargetMode="External"/><Relationship Id="rId131" Type="http://schemas.openxmlformats.org/officeDocument/2006/relationships/hyperlink" Target="https://drive.google.com/open?id=1eCQKQsUKac6AEN5lInQhajpWw6mB4KGt" TargetMode="External"/><Relationship Id="rId252" Type="http://schemas.openxmlformats.org/officeDocument/2006/relationships/hyperlink" Target="https://drive.google.com/open?id=1aliPd2oIW1soFcOQBN6fl4AAcMbUqT1C&amp;usp=drive_copy" TargetMode="External"/><Relationship Id="rId373" Type="http://schemas.openxmlformats.org/officeDocument/2006/relationships/hyperlink" Target="https://drive.google.com/file/d/1XJqTk4Kb4UOleeCxI6odvb3FFav_zlbM/view?usp=drive_link" TargetMode="External"/><Relationship Id="rId494" Type="http://schemas.openxmlformats.org/officeDocument/2006/relationships/hyperlink" Target="https://drive.google.com/file/d/1LDF3CEZVhcFFvBw9jLY1qcs3rXx8q8wl/view?usp=drive_link" TargetMode="External"/><Relationship Id="rId130" Type="http://schemas.openxmlformats.org/officeDocument/2006/relationships/hyperlink" Target="https://drive.google.com/open?id=1eCQKQsUKac6AEN5lInQhajpWw6mB4KGt" TargetMode="External"/><Relationship Id="rId251" Type="http://schemas.openxmlformats.org/officeDocument/2006/relationships/hyperlink" Target="https://drive.google.com/drive/folders/16BqTq_LgKbPrCxzwMpfTN2NHoLA6Bpl4" TargetMode="External"/><Relationship Id="rId372" Type="http://schemas.openxmlformats.org/officeDocument/2006/relationships/hyperlink" Target="https://zoronccl.sharepoint.com/:b:/s/Zoron/IQCGUe9U2lTlQ5O5QRsmUFNHASAUtLjN8y7qCULbGFgYfvs?e=h8d3n0" TargetMode="External"/><Relationship Id="rId493" Type="http://schemas.openxmlformats.org/officeDocument/2006/relationships/hyperlink" Target="https://drive.google.com/drive/folders/1V6cdMMkRq-1rWwH1Rsgxxjv0KsV3W0eo?usp=drive_link" TargetMode="External"/><Relationship Id="rId250" Type="http://schemas.openxmlformats.org/officeDocument/2006/relationships/hyperlink" Target="https://drive.google.com/file/d/1rOCGwAG-U2z41L-MLeYZakzSie9Fab26/view?usp=drive_link" TargetMode="External"/><Relationship Id="rId371" Type="http://schemas.openxmlformats.org/officeDocument/2006/relationships/hyperlink" Target="https://drive.google.com/file/d/1zYdlTOmWcvwvzDE-vX_i_sb5CGH8haiR/view?usp=drive_link" TargetMode="External"/><Relationship Id="rId492" Type="http://schemas.openxmlformats.org/officeDocument/2006/relationships/hyperlink" Target="https://drive.google.com/drive/folders/1V6cdMMkRq-1rWwH1Rsgxxjv0KsV3W0eo?usp=drive_link" TargetMode="External"/><Relationship Id="rId136" Type="http://schemas.openxmlformats.org/officeDocument/2006/relationships/hyperlink" Target="https://drive.google.com/file/d/1jkccQk8HtZAhsLECRGg-w0tNvADQGlbB/view?usp=drive_link" TargetMode="External"/><Relationship Id="rId257" Type="http://schemas.openxmlformats.org/officeDocument/2006/relationships/hyperlink" Target="https://drive.google.com/drive/folders/16BqTq_LgKbPrCxzwMpfTN2NHoLA6Bpl4" TargetMode="External"/><Relationship Id="rId378" Type="http://schemas.openxmlformats.org/officeDocument/2006/relationships/hyperlink" Target="https://drive.google.com/file/d/15JsxysAH-Z2fksTC9DeTPAn_rP1TrEwh/view?usp=drive_link" TargetMode="External"/><Relationship Id="rId499" Type="http://schemas.openxmlformats.org/officeDocument/2006/relationships/hyperlink" Target="https://drive.google.com/file/d/1GhFAPE6R_LDr_mj9GrNDW4MkD5vUWCQr/view?usp=drive_link" TargetMode="External"/><Relationship Id="rId135" Type="http://schemas.openxmlformats.org/officeDocument/2006/relationships/hyperlink" Target="https://drive.google.com/open?id=1eCQKQsUKac6AEN5lInQhajpWw6mB4KGt" TargetMode="External"/><Relationship Id="rId256" Type="http://schemas.openxmlformats.org/officeDocument/2006/relationships/hyperlink" Target="https://drive.google.com/file/d/1zjdA_2l_75KjwoQ-_XiGusBAfCc8mE-w/view?usp=drive_link" TargetMode="External"/><Relationship Id="rId377" Type="http://schemas.openxmlformats.org/officeDocument/2006/relationships/hyperlink" Target="https://drive.google.com/file/d/1z17zIIG9BoO9nYo8OC2cDxEIDS8yWg8T/view?usp=drive_link" TargetMode="External"/><Relationship Id="rId498" Type="http://schemas.openxmlformats.org/officeDocument/2006/relationships/hyperlink" Target="https://drive.google.com/drive/folders/1V6cdMMkRq-1rWwH1Rsgxxjv0KsV3W0eo?usp=drive_link" TargetMode="External"/><Relationship Id="rId134" Type="http://schemas.openxmlformats.org/officeDocument/2006/relationships/hyperlink" Target="https://drive.google.com/open?id=1eCQKQsUKac6AEN5lInQhajpWw6mB4KGt" TargetMode="External"/><Relationship Id="rId255" Type="http://schemas.openxmlformats.org/officeDocument/2006/relationships/hyperlink" Target="https://drive.google.com/file/d/17uQuR-MXWoRQ8K5gmZvpNL1H2lDQ9riz/view?usp=drive_link" TargetMode="External"/><Relationship Id="rId376" Type="http://schemas.openxmlformats.org/officeDocument/2006/relationships/hyperlink" Target="https://drive.google.com/file/d/1_sVheSJtTfF8Rw_VxFFNXAjqHzqymIgn/view?usp=drive_link" TargetMode="External"/><Relationship Id="rId497" Type="http://schemas.openxmlformats.org/officeDocument/2006/relationships/hyperlink" Target="https://drive.google.com/file/d/1o2S2trL4029zFzqK35D4Pmf8MHr7ty_M/view?usp=drive_link" TargetMode="External"/><Relationship Id="rId133" Type="http://schemas.openxmlformats.org/officeDocument/2006/relationships/hyperlink" Target="https://drive.google.com/open?id=1eCQKQsUKac6AEN5lInQhajpWw6mB4KGt" TargetMode="External"/><Relationship Id="rId254" Type="http://schemas.openxmlformats.org/officeDocument/2006/relationships/hyperlink" Target="https://drive.google.com/file/d/1ckIXTOZjzGgZcFeEeALOqCWmSaD4dfBG/view?usp=drive_link" TargetMode="External"/><Relationship Id="rId375" Type="http://schemas.openxmlformats.org/officeDocument/2006/relationships/hyperlink" Target="https://drive.google.com/file/d/1g-dQMIqVZL4Fngj8VhKRC5kRgCNiLMw4/view?usp=drive_link" TargetMode="External"/><Relationship Id="rId496" Type="http://schemas.openxmlformats.org/officeDocument/2006/relationships/hyperlink" Target="https://drive.google.com/drive/folders/1V6cdMMkRq-1rWwH1Rsgxxjv0KsV3W0eo?usp=drive_link" TargetMode="External"/><Relationship Id="rId172" Type="http://schemas.openxmlformats.org/officeDocument/2006/relationships/hyperlink" Target="http://../../../:i:/s/Zoron/IQDAIS7iixUoR7of1hFYZTPwAQM7eh3wiAm94RIM1ZX90HY?e=QMJK4J" TargetMode="External"/><Relationship Id="rId293" Type="http://schemas.openxmlformats.org/officeDocument/2006/relationships/hyperlink" Target="https://zoronccl.sharepoint.com/:b:/s/Zoron/IQDPqMddh7h8Trn24dymVQWgAQe7pjUaaILz-b2a3dmJQFI?e=ljj0Vn" TargetMode="External"/><Relationship Id="rId171" Type="http://schemas.openxmlformats.org/officeDocument/2006/relationships/hyperlink" Target="http://cartola_zoron_cte_mar_26/" TargetMode="External"/><Relationship Id="rId292" Type="http://schemas.openxmlformats.org/officeDocument/2006/relationships/hyperlink" Target="https://drive.google.com/file/d/1e--5GnRoqCjiAt6AxqbiTaC4YBl3zUre/view?usp=drive_link" TargetMode="External"/><Relationship Id="rId170" Type="http://schemas.openxmlformats.org/officeDocument/2006/relationships/hyperlink" Target="http://cartola_zoron_cte_mar_26/" TargetMode="External"/><Relationship Id="rId291" Type="http://schemas.openxmlformats.org/officeDocument/2006/relationships/hyperlink" Target="https://drive.google.com/file/d/1L3-Vs1HxABSa_nGXDCBMwLcwNBlm87x3/view?usp=drive_link" TargetMode="External"/><Relationship Id="rId290" Type="http://schemas.openxmlformats.org/officeDocument/2006/relationships/hyperlink" Target="https://drive.google.com/file/d/1gzldCNZW7vh8TfSSCeP8-HkK8TWJA6mS/view?usp=drive_link" TargetMode="External"/><Relationship Id="rId165" Type="http://schemas.openxmlformats.org/officeDocument/2006/relationships/hyperlink" Target="https://drive.google.com/file/d/1EllsREui2Xbm6vuK-DaM7HEWCLlIctpZ/view?usp=drive_link" TargetMode="External"/><Relationship Id="rId286" Type="http://schemas.openxmlformats.org/officeDocument/2006/relationships/hyperlink" Target="https://drive.google.com/file/d/1VYqUvXyqeG0oSdBoMGb2bJGf4Xj952bL/view?usp=drive_link" TargetMode="External"/><Relationship Id="rId164" Type="http://schemas.openxmlformats.org/officeDocument/2006/relationships/hyperlink" Target="https://drive.google.com/file/d/13Amg80j9tHlvS5wBHAVqFSxFeKKusoKr/view?usp=drive_link" TargetMode="External"/><Relationship Id="rId285" Type="http://schemas.openxmlformats.org/officeDocument/2006/relationships/hyperlink" Target="https://drive.google.com/file/d/1a5lUhDrS6Z9L6Y2LlvAn97nNu5iw7esU/view?usp=drive_link" TargetMode="External"/><Relationship Id="rId163" Type="http://schemas.openxmlformats.org/officeDocument/2006/relationships/hyperlink" Target="https://drive.google.com/open?id=1z3V92WHW7MLMxxy3nORMCPbgMSQ7z0Eh" TargetMode="External"/><Relationship Id="rId284" Type="http://schemas.openxmlformats.org/officeDocument/2006/relationships/hyperlink" Target="https://drive.google.com/drive/folders/1FFChEzMA1ub726QQDcfMkuyHoNdJoIYt?usp=drive_link" TargetMode="External"/><Relationship Id="rId162" Type="http://schemas.openxmlformats.org/officeDocument/2006/relationships/hyperlink" Target="https://drive.google.com/file/d/1pLFBlW1VcTeGqbAfSuEIkiLFHpCtxj1z/view?usp=drive_link" TargetMode="External"/><Relationship Id="rId283" Type="http://schemas.openxmlformats.org/officeDocument/2006/relationships/hyperlink" Target="https://zoronccl.sharepoint.com/:b:/s/Zoron/IQDPqMddh7h8Trn24dymVQWgAQe7pjUaaILz-b2a3dmJQFI?e=WtFq1C" TargetMode="External"/><Relationship Id="rId169" Type="http://schemas.openxmlformats.org/officeDocument/2006/relationships/hyperlink" Target="http://cartola_zoron_cte_mar_26/" TargetMode="External"/><Relationship Id="rId168" Type="http://schemas.openxmlformats.org/officeDocument/2006/relationships/hyperlink" Target="http://../../../:b:/s/Zoron/IQDSqSSmvYBoS7sa7AUuoft4AafJvw3zu3CipMHvKQhKkr4?e=8Evhlx" TargetMode="External"/><Relationship Id="rId289" Type="http://schemas.openxmlformats.org/officeDocument/2006/relationships/hyperlink" Target="https://zoronccl.sharepoint.com/:b:/s/Zoron/IQB1G7FfFJlCRohPtJWTBuHkAQQp9uCAalW4ROsvAC7igDs?e=bInia4" TargetMode="External"/><Relationship Id="rId167" Type="http://schemas.openxmlformats.org/officeDocument/2006/relationships/hyperlink" Target="http://../../../:b:/s/Zoron/IQARM8SkgFw1TJCWHSiMDzwbAYqmzmIRb4wn2IsSKitygyw?e=c7jMCy" TargetMode="External"/><Relationship Id="rId288" Type="http://schemas.openxmlformats.org/officeDocument/2006/relationships/hyperlink" Target="https://drive.google.com/file/d/1yOgZsvnAQd3guLzh1lAC4ruD1pvkWQIL/view?usp=drive_link" TargetMode="External"/><Relationship Id="rId166" Type="http://schemas.openxmlformats.org/officeDocument/2006/relationships/hyperlink" Target="https://drive.google.com/open?id=1HMSZlQzoc4jVkwhjicqrC4dHxxRQUAy7" TargetMode="External"/><Relationship Id="rId287" Type="http://schemas.openxmlformats.org/officeDocument/2006/relationships/hyperlink" Target="https://drive.google.com/drive/folders/16BqTq_LgKbPrCxzwMpfTN2NHoLA6Bpl4?usp=drive_link" TargetMode="External"/><Relationship Id="rId161" Type="http://schemas.openxmlformats.org/officeDocument/2006/relationships/hyperlink" Target="https://drive.google.com/open?id=11Wd3Sb0F-mmEMOaOS3eG2znNMTi-_ZRW" TargetMode="External"/><Relationship Id="rId282" Type="http://schemas.openxmlformats.org/officeDocument/2006/relationships/hyperlink" Target="https://drive.google.com/open?id=1ww10EqQIYQn7a9ofIvsjzAT3FEToUSY1&amp;usp=drive_copy" TargetMode="External"/><Relationship Id="rId160" Type="http://schemas.openxmlformats.org/officeDocument/2006/relationships/hyperlink" Target="https://drive.google.com/open?id=11Wd3Sb0F-mmEMOaOS3eG2znNMTi-_ZRW" TargetMode="External"/><Relationship Id="rId281" Type="http://schemas.openxmlformats.org/officeDocument/2006/relationships/hyperlink" Target="https://drive.google.com/open?id=1CKbWpbIpwaI-O5zZhxs1EFFzKaGXc6WW" TargetMode="External"/><Relationship Id="rId280" Type="http://schemas.openxmlformats.org/officeDocument/2006/relationships/hyperlink" Target="https://docs.google.com/spreadsheets/u/2/d/1XKPEEpwzd6YwR7BfYbNW0UFmMBYFMSEN/edit" TargetMode="External"/><Relationship Id="rId159" Type="http://schemas.openxmlformats.org/officeDocument/2006/relationships/hyperlink" Target="https://drive.google.com/open?id=11Wd3Sb0F-mmEMOaOS3eG2znNMTi-_ZRW" TargetMode="External"/><Relationship Id="rId154" Type="http://schemas.openxmlformats.org/officeDocument/2006/relationships/hyperlink" Target="http://claude.ai/" TargetMode="External"/><Relationship Id="rId275" Type="http://schemas.openxmlformats.org/officeDocument/2006/relationships/hyperlink" Target="https://drive.google.com/drive/folders/16BqTq_LgKbPrCxzwMpfTN2NHoLA6Bpl4" TargetMode="External"/><Relationship Id="rId396" Type="http://schemas.openxmlformats.org/officeDocument/2006/relationships/hyperlink" Target="https://drive.google.com/file/d/19ltPUo4fTu_eZL7hb0TlWeZxxeUbok-3/view?usp=drive_link" TargetMode="External"/><Relationship Id="rId153" Type="http://schemas.openxmlformats.org/officeDocument/2006/relationships/hyperlink" Target="https://drive.google.com/open?id=11Wd3Sb0F-mmEMOaOS3eG2znNMTi-_ZRW" TargetMode="External"/><Relationship Id="rId274" Type="http://schemas.openxmlformats.org/officeDocument/2006/relationships/hyperlink" Target="https://drive.google.com/file/d/1s3cdons2DTGY3l7C3yTgfttphUuii-eG/view?usp=drive_link" TargetMode="External"/><Relationship Id="rId395" Type="http://schemas.openxmlformats.org/officeDocument/2006/relationships/hyperlink" Target="https://drive.google.com/file/d/1PlDx3zUBivk-C0YgyaT-x5eBiQaqJIW-/view?usp=drive_link" TargetMode="External"/><Relationship Id="rId152" Type="http://schemas.openxmlformats.org/officeDocument/2006/relationships/hyperlink" Target="https://drive.google.com/open?id=15R-r0CsI-4wxgpkALF6r7ZOT24eauDr5" TargetMode="External"/><Relationship Id="rId273" Type="http://schemas.openxmlformats.org/officeDocument/2006/relationships/hyperlink" Target="https://drive.google.com/file/d/1W9r5a4LSFryXI4awKxA-zJtR3REXeHL2/view?usp=drive_link" TargetMode="External"/><Relationship Id="rId394" Type="http://schemas.openxmlformats.org/officeDocument/2006/relationships/hyperlink" Target="https://drive.google.com/drive/folders/1AWxCDH3IKyIpQq6Nql2TpRu98geLknHn?usp=drive_link" TargetMode="External"/><Relationship Id="rId151" Type="http://schemas.openxmlformats.org/officeDocument/2006/relationships/hyperlink" Target="https://drive.google.com/open?id=1MsMsG4yA0IIwgvkMbAatjnb8AA07EEkM" TargetMode="External"/><Relationship Id="rId272" Type="http://schemas.openxmlformats.org/officeDocument/2006/relationships/hyperlink" Target="https://drive.google.com/file/d/1coElBYGXSQun-zep667powkG_9KTTqBA/view?usp=drive_link" TargetMode="External"/><Relationship Id="rId393" Type="http://schemas.openxmlformats.org/officeDocument/2006/relationships/hyperlink" Target="https://drive.google.com/file/d/1mJ9aofcirthOseA_tU1FsVJapieNrmwd/view?usp=drive_link" TargetMode="External"/><Relationship Id="rId158" Type="http://schemas.openxmlformats.org/officeDocument/2006/relationships/hyperlink" Target="https://drive.google.com/open?id=1bfxFHHhrO9hhjGGCXS7YLmHLII6XihA-" TargetMode="External"/><Relationship Id="rId279" Type="http://schemas.openxmlformats.org/officeDocument/2006/relationships/hyperlink" Target="http://../../../:i:/s/Zoron/IQBe8wcL8SLdTbiK1EVUfCZeAad4lRXlQWfAuF1d4gv6_ls?e=hxPzbW" TargetMode="External"/><Relationship Id="rId157" Type="http://schemas.openxmlformats.org/officeDocument/2006/relationships/hyperlink" Target="https://drive.google.com/open?id=11Wd3Sb0F-mmEMOaOS3eG2znNMTi-_ZRW" TargetMode="External"/><Relationship Id="rId278" Type="http://schemas.openxmlformats.org/officeDocument/2006/relationships/hyperlink" Target="http://../../../:i:/s/Zoron/IQAeasm4Ro3tTLpjnN1hD78mAQHuf6IXaArcTTnJGCKvzoM?e=Kwbb6b" TargetMode="External"/><Relationship Id="rId399" Type="http://schemas.openxmlformats.org/officeDocument/2006/relationships/hyperlink" Target="https://drive.google.com/file/d/1EIebmZMrO21V_wcjzS4O9zn0Gbk7Wdnm/view?usp=drive_link" TargetMode="External"/><Relationship Id="rId156" Type="http://schemas.openxmlformats.org/officeDocument/2006/relationships/hyperlink" Target="https://drive.google.com/open?id=1bfxFHHhrO9hhjGGCXS7YLmHLII6XihA-" TargetMode="External"/><Relationship Id="rId277" Type="http://schemas.openxmlformats.org/officeDocument/2006/relationships/hyperlink" Target="http://../../../:i:/s/Zoron/IQDKrkQf0fiBR7K_BSTOfDbCAbxqXYYvP7pRmjlHNABbUT4?e=4Q3Kan" TargetMode="External"/><Relationship Id="rId398" Type="http://schemas.openxmlformats.org/officeDocument/2006/relationships/hyperlink" Target="https://drive.google.com/file/d/1AYWH-WUHPu4Z5VLWTYOi42Gd9ZaIrxhV/view?usp=drive_link" TargetMode="External"/><Relationship Id="rId155" Type="http://schemas.openxmlformats.org/officeDocument/2006/relationships/hyperlink" Target="http://claude.ai/" TargetMode="External"/><Relationship Id="rId276" Type="http://schemas.openxmlformats.org/officeDocument/2006/relationships/hyperlink" Target="http://../../../:b:/s/Zoron/IQA2RpdOyObWQ4OzpgHi-BIzAQw3of_dx8kYBCltzoS5dXw?e=lhggzI" TargetMode="External"/><Relationship Id="rId397" Type="http://schemas.openxmlformats.org/officeDocument/2006/relationships/hyperlink" Target="https://drive.google.com/file/d/12zvaf-a5US52lqvz9KTvSDKcJDD9OUrn/view?usp=drive_link" TargetMode="External"/><Relationship Id="rId40" Type="http://schemas.openxmlformats.org/officeDocument/2006/relationships/hyperlink" Target="https://drive.google.com/open?id=1LwPbCaFCuoz2XKFLUW0mzLaADMbL8cO8" TargetMode="External"/><Relationship Id="rId42" Type="http://schemas.openxmlformats.org/officeDocument/2006/relationships/hyperlink" Target="https://drive.google.com/file/d/1Pidtcj2NWI6Ue3X4tefmxAqhrWCpIzWR/view?usp=drivesdk" TargetMode="External"/><Relationship Id="rId41" Type="http://schemas.openxmlformats.org/officeDocument/2006/relationships/hyperlink" Target="https://drive.google.com/open?id=1LwPbCaFCuoz2XKFLUW0mzLaADMbL8cO8" TargetMode="External"/><Relationship Id="rId44" Type="http://schemas.openxmlformats.org/officeDocument/2006/relationships/hyperlink" Target="https://drive.google.com/open?id=1a1wJmHJdBRLJ238I37o8juApdyd_RvBy" TargetMode="External"/><Relationship Id="rId43" Type="http://schemas.openxmlformats.org/officeDocument/2006/relationships/hyperlink" Target="https://drive.google.com/file/d/1ux2y0vUn6RZvERLx8vA4Gkb0Mz6F9ETF/view?usp=drivesdk" TargetMode="External"/><Relationship Id="rId46" Type="http://schemas.openxmlformats.org/officeDocument/2006/relationships/hyperlink" Target="https://drive.google.com/file/d/1XGgZHon0LtMtMZ4F5IHwQ4c86UmeOeOS/view?usp=drive_link" TargetMode="External"/><Relationship Id="rId45" Type="http://schemas.openxmlformats.org/officeDocument/2006/relationships/hyperlink" Target="https://drive.google.com/file/d/1FWVE65FYSVKYucUW8lDP2gBGquLVg-ii/view?usp=drive_link" TargetMode="External"/><Relationship Id="rId509" Type="http://schemas.openxmlformats.org/officeDocument/2006/relationships/hyperlink" Target="https://drive.google.com/file/d/19r2teZpjyegPcPbG-kTCl4WJJZwpZJU1/view?usp=drive_link" TargetMode="External"/><Relationship Id="rId508" Type="http://schemas.openxmlformats.org/officeDocument/2006/relationships/hyperlink" Target="https://drive.google.com/drive/folders/1V6cdMMkRq-1rWwH1Rsgxxjv0KsV3W0eo?usp=drive_link" TargetMode="External"/><Relationship Id="rId503" Type="http://schemas.openxmlformats.org/officeDocument/2006/relationships/hyperlink" Target="https://drive.google.com/file/d/1CwVEIPGAzln-0ffCnwRUtA3Zhehl9MK6/view?usp=drive_link" TargetMode="External"/><Relationship Id="rId502" Type="http://schemas.openxmlformats.org/officeDocument/2006/relationships/hyperlink" Target="https://drive.google.com/drive/folders/1V6cdMMkRq-1rWwH1Rsgxxjv0KsV3W0eo?usp=drive_link" TargetMode="External"/><Relationship Id="rId501" Type="http://schemas.openxmlformats.org/officeDocument/2006/relationships/hyperlink" Target="https://drive.google.com/file/d/1Ws20QIawke-ZlaYbYzR3eDn0csHIoUCt/view?usp=drive_link" TargetMode="External"/><Relationship Id="rId500" Type="http://schemas.openxmlformats.org/officeDocument/2006/relationships/hyperlink" Target="https://drive.google.com/drive/folders/1V6cdMMkRq-1rWwH1Rsgxxjv0KsV3W0eo?usp=drive_link" TargetMode="External"/><Relationship Id="rId507" Type="http://schemas.openxmlformats.org/officeDocument/2006/relationships/hyperlink" Target="https://drive.google.com/file/d/1gIS6Pd4iEA--nyResSKOnpLbNHs68MSC/view?usp=drive_link" TargetMode="External"/><Relationship Id="rId506" Type="http://schemas.openxmlformats.org/officeDocument/2006/relationships/hyperlink" Target="https://drive.google.com/drive/folders/1V6cdMMkRq-1rWwH1Rsgxxjv0KsV3W0eo?usp=drive_link" TargetMode="External"/><Relationship Id="rId505" Type="http://schemas.openxmlformats.org/officeDocument/2006/relationships/hyperlink" Target="https://drive.google.com/file/d/1s-L-FGd79EIsevCAZzPjnUt3OuBLMogc/view?usp=drive_link" TargetMode="External"/><Relationship Id="rId504" Type="http://schemas.openxmlformats.org/officeDocument/2006/relationships/hyperlink" Target="https://drive.google.com/drive/folders/1V6cdMMkRq-1rWwH1Rsgxxjv0KsV3W0eo?usp=drive_link" TargetMode="External"/><Relationship Id="rId48" Type="http://schemas.openxmlformats.org/officeDocument/2006/relationships/hyperlink" Target="https://drive.google.com/file/d/1K4dMlDCbrlZEsZGKNMsidyxSOK4yN1GQ/view?usp=drive_link" TargetMode="External"/><Relationship Id="rId47" Type="http://schemas.openxmlformats.org/officeDocument/2006/relationships/hyperlink" Target="https://drive.google.com/file/d/1X1-QIwYJ4gLdZ7se5i3NVZeuofB_Ut_N/view?usp=drivesdk" TargetMode="External"/><Relationship Id="rId49" Type="http://schemas.openxmlformats.org/officeDocument/2006/relationships/hyperlink" Target="https://drive.google.com/file/d/1j1bmNi_vUNqbw-LQ8Uys3pYMKi6lTmXK/view?usp=drive_link" TargetMode="External"/><Relationship Id="rId31" Type="http://schemas.openxmlformats.org/officeDocument/2006/relationships/hyperlink" Target="https://drive.google.com/open?id=1LwPbCaFCuoz2XKFLUW0mzLaADMbL8cO8" TargetMode="External"/><Relationship Id="rId30" Type="http://schemas.openxmlformats.org/officeDocument/2006/relationships/hyperlink" Target="https://drive.google.com/open?id=1LwPbCaFCuoz2XKFLUW0mzLaADMbL8cO8" TargetMode="External"/><Relationship Id="rId33" Type="http://schemas.openxmlformats.org/officeDocument/2006/relationships/hyperlink" Target="https://drive.google.com/open?id=1NzOArSQU51un2TvT66BM3QDibp2hTSRj" TargetMode="External"/><Relationship Id="rId32" Type="http://schemas.openxmlformats.org/officeDocument/2006/relationships/hyperlink" Target="https://drive.google.com/open?id=1LwPbCaFCuoz2XKFLUW0mzLaADMbL8cO8" TargetMode="External"/><Relationship Id="rId35" Type="http://schemas.openxmlformats.org/officeDocument/2006/relationships/hyperlink" Target="https://drive.google.com/open?id=1a1wJmHJdBRLJ238I37o8juApdyd_RvBy" TargetMode="External"/><Relationship Id="rId34" Type="http://schemas.openxmlformats.org/officeDocument/2006/relationships/hyperlink" Target="https://drive.google.com/open?id=1a1wJmHJdBRLJ238I37o8juApdyd_RvBy" TargetMode="External"/><Relationship Id="rId37" Type="http://schemas.openxmlformats.org/officeDocument/2006/relationships/hyperlink" Target="https://drive.google.com/file/d/1AxCV_bNUFCjznWTKgcj_UZEJCb82IEsu/view?usp=drivesdk" TargetMode="External"/><Relationship Id="rId36" Type="http://schemas.openxmlformats.org/officeDocument/2006/relationships/hyperlink" Target="https://drive.google.com/open?id=1a1wJmHJdBRLJ238I37o8juApdyd_RvBy" TargetMode="External"/><Relationship Id="rId39" Type="http://schemas.openxmlformats.org/officeDocument/2006/relationships/hyperlink" Target="https://drive.google.com/open?id=1LwPbCaFCuoz2XKFLUW0mzLaADMbL8cO8" TargetMode="External"/><Relationship Id="rId38" Type="http://schemas.openxmlformats.org/officeDocument/2006/relationships/hyperlink" Target="https://drive.google.com/open?id=1LwPbCaFCuoz2XKFLUW0mzLaADMbL8cO8" TargetMode="External"/><Relationship Id="rId20" Type="http://schemas.openxmlformats.org/officeDocument/2006/relationships/hyperlink" Target="https://drive.google.com/open?id=1qMUpH-Vp-K0apnEDmXFqGfDy-Pu_NeUf" TargetMode="External"/><Relationship Id="rId22" Type="http://schemas.openxmlformats.org/officeDocument/2006/relationships/hyperlink" Target="https://drive.google.com/open?id=1a1wJmHJdBRLJ238I37o8juApdyd_RvBy" TargetMode="External"/><Relationship Id="rId21" Type="http://schemas.openxmlformats.org/officeDocument/2006/relationships/hyperlink" Target="https://drive.google.com/open?id=1a1wJmHJdBRLJ238I37o8juApdyd_RvBy" TargetMode="External"/><Relationship Id="rId24" Type="http://schemas.openxmlformats.org/officeDocument/2006/relationships/hyperlink" Target="http://zoom.com/" TargetMode="External"/><Relationship Id="rId23" Type="http://schemas.openxmlformats.org/officeDocument/2006/relationships/hyperlink" Target="https://drive.google.com/open?id=1a1wJmHJdBRLJ238I37o8juApdyd_RvBy" TargetMode="External"/><Relationship Id="rId409" Type="http://schemas.openxmlformats.org/officeDocument/2006/relationships/hyperlink" Target="https://drive.google.com/file/d/1CDlo7XIPracgFFD4a-P7sMxwlFx1sIyS/view?usp=drive_link" TargetMode="External"/><Relationship Id="rId404" Type="http://schemas.openxmlformats.org/officeDocument/2006/relationships/hyperlink" Target="https://drive.google.com/file/d/13X5RLH2J_gF-k5JvjVQPiOdNZYLOI3ia/view?usp=drive_link" TargetMode="External"/><Relationship Id="rId525" Type="http://schemas.openxmlformats.org/officeDocument/2006/relationships/hyperlink" Target="https://drive.google.com/file/d/1st1VmDMhzJdn41kivVp_uuhzlu_EVUdd/view?usp=drive_link" TargetMode="External"/><Relationship Id="rId403" Type="http://schemas.openxmlformats.org/officeDocument/2006/relationships/hyperlink" Target="https://drive.google.com/drive/folders/1FFChEzMA1ub726QQDcfMkuyHoNdJoIYt?usp=drive_link" TargetMode="External"/><Relationship Id="rId524" Type="http://schemas.openxmlformats.org/officeDocument/2006/relationships/hyperlink" Target="https://drive.google.com/drive/folders/1V6cdMMkRq-1rWwH1Rsgxxjv0KsV3W0eo?usp=drive_link" TargetMode="External"/><Relationship Id="rId402" Type="http://schemas.openxmlformats.org/officeDocument/2006/relationships/hyperlink" Target="https://drive.google.com/file/d/1oQhahPhAcQej8Zl_8u7ppDpNs04V6ujV/view?usp=sharing" TargetMode="External"/><Relationship Id="rId523" Type="http://schemas.openxmlformats.org/officeDocument/2006/relationships/hyperlink" Target="https://drive.google.com/file/d/1EYI9ApOZj8hAIQKmAJ1XXOf4_xcQxogn/view?usp=drive_link" TargetMode="External"/><Relationship Id="rId401" Type="http://schemas.openxmlformats.org/officeDocument/2006/relationships/hyperlink" Target="https://drive.google.com/file/d/1UIS7l7_hZqyuPKgSRZgVno6cyyvEUB5u/view?usp=sharing" TargetMode="External"/><Relationship Id="rId522" Type="http://schemas.openxmlformats.org/officeDocument/2006/relationships/hyperlink" Target="https://drive.google.com/drive/folders/1V6cdMMkRq-1rWwH1Rsgxxjv0KsV3W0eo?usp=drive_link" TargetMode="External"/><Relationship Id="rId408" Type="http://schemas.openxmlformats.org/officeDocument/2006/relationships/hyperlink" Target="https://drive.google.com/file/d/12z4uZ0viVXdLcF0Crv58RN4TvDlOOc3O/view?usp=drive_link" TargetMode="External"/><Relationship Id="rId529" Type="http://schemas.openxmlformats.org/officeDocument/2006/relationships/hyperlink" Target="https://drive.google.com/file/d/1PgRGdLcPGu-2u8DTdHzWkIHNJkopVrVV/view?usp=drive_link" TargetMode="External"/><Relationship Id="rId407" Type="http://schemas.openxmlformats.org/officeDocument/2006/relationships/hyperlink" Target="https://drive.google.com/drive/folders/1FFChEzMA1ub726QQDcfMkuyHoNdJoIYt?usp=drive_link" TargetMode="External"/><Relationship Id="rId528" Type="http://schemas.openxmlformats.org/officeDocument/2006/relationships/hyperlink" Target="https://drive.google.com/drive/folders/1V6cdMMkRq-1rWwH1Rsgxxjv0KsV3W0eo?usp=drive_link" TargetMode="External"/><Relationship Id="rId406" Type="http://schemas.openxmlformats.org/officeDocument/2006/relationships/hyperlink" Target="https://drive.google.com/file/d/1f3GeDT1lePmE5fYEs8_0s7SH-q6uUdbM/view?usp=drive_link" TargetMode="External"/><Relationship Id="rId527" Type="http://schemas.openxmlformats.org/officeDocument/2006/relationships/hyperlink" Target="https://drive.google.com/file/d/1QK5AArdlu1PFL3u_dwEUzllwsjuAc63f/view?usp=drive_link" TargetMode="External"/><Relationship Id="rId405" Type="http://schemas.openxmlformats.org/officeDocument/2006/relationships/hyperlink" Target="https://drive.google.com/file/d/105KaxcJOhCADSv8Hpn1YlOjVIr2WqKtj/view?usp=drive_link" TargetMode="External"/><Relationship Id="rId526" Type="http://schemas.openxmlformats.org/officeDocument/2006/relationships/hyperlink" Target="https://drive.google.com/drive/folders/1V6cdMMkRq-1rWwH1Rsgxxjv0KsV3W0eo?usp=drive_link" TargetMode="External"/><Relationship Id="rId26" Type="http://schemas.openxmlformats.org/officeDocument/2006/relationships/hyperlink" Target="https://drive.google.com/open?id=1LwPbCaFCuoz2XKFLUW0mzLaADMbL8cO8" TargetMode="External"/><Relationship Id="rId25" Type="http://schemas.openxmlformats.org/officeDocument/2006/relationships/hyperlink" Target="http://zoom.com/" TargetMode="External"/><Relationship Id="rId28" Type="http://schemas.openxmlformats.org/officeDocument/2006/relationships/hyperlink" Target="https://drive.google.com/open?id=1XDfP1cjm1vqoOxyIL9auk_1p9g5qdhwX" TargetMode="External"/><Relationship Id="rId27" Type="http://schemas.openxmlformats.org/officeDocument/2006/relationships/hyperlink" Target="https://drive.google.com/open?id=1_JZaCsFd5qaLxKIOC48QORLrKekZa30X" TargetMode="External"/><Relationship Id="rId400" Type="http://schemas.openxmlformats.org/officeDocument/2006/relationships/hyperlink" Target="https://drive.google.com/file/d/1s_CTTsKSmJSktyN9BlzK9oYxaTmsVbXs/view?usp=drive_link" TargetMode="External"/><Relationship Id="rId521" Type="http://schemas.openxmlformats.org/officeDocument/2006/relationships/hyperlink" Target="https://drive.google.com/file/d/1jd_h0SbCHgBRR97i9vG8XCF228YBvgO4/view?usp=drive_link" TargetMode="External"/><Relationship Id="rId29" Type="http://schemas.openxmlformats.org/officeDocument/2006/relationships/hyperlink" Target="https://drive.google.com/open?id=1LwPbCaFCuoz2XKFLUW0mzLaADMbL8cO8" TargetMode="External"/><Relationship Id="rId520" Type="http://schemas.openxmlformats.org/officeDocument/2006/relationships/hyperlink" Target="https://drive.google.com/drive/folders/1V6cdMMkRq-1rWwH1Rsgxxjv0KsV3W0eo?usp=drive_link" TargetMode="External"/><Relationship Id="rId11" Type="http://schemas.openxmlformats.org/officeDocument/2006/relationships/hyperlink" Target="https://drive.google.com/open?id=1wEHH4mmczUZjv8RJTiKcwc3g1yoHGPHH" TargetMode="External"/><Relationship Id="rId10" Type="http://schemas.openxmlformats.org/officeDocument/2006/relationships/hyperlink" Target="https://drive.google.com/open?id=104pC3BET9pnJEnzrkqaub4yWq78OfRuF" TargetMode="External"/><Relationship Id="rId13" Type="http://schemas.openxmlformats.org/officeDocument/2006/relationships/hyperlink" Target="https://drive.google.com/open?id=1nEymMUgZa02hbKnDJNMY8m7V9glJJYex" TargetMode="External"/><Relationship Id="rId12" Type="http://schemas.openxmlformats.org/officeDocument/2006/relationships/hyperlink" Target="https://drive.google.com/open?id=1otG5FJJzFzMDCIaBus3upKixidSt0GE_" TargetMode="External"/><Relationship Id="rId519" Type="http://schemas.openxmlformats.org/officeDocument/2006/relationships/hyperlink" Target="https://drive.google.com/drive/folders/1V6cdMMkRq-1rWwH1Rsgxxjv0KsV3W0eo?usp=drive_link" TargetMode="External"/><Relationship Id="rId514" Type="http://schemas.openxmlformats.org/officeDocument/2006/relationships/hyperlink" Target="https://drive.google.com/file/d/1mqczhhlYbWJ9FpQFBnJBZYoe3valUaJ4/view?usp=drive_link" TargetMode="External"/><Relationship Id="rId513" Type="http://schemas.openxmlformats.org/officeDocument/2006/relationships/hyperlink" Target="https://drive.google.com/file/d/1FR1OxfGmazDuszWb4uqLtg-YRdNZEI_9/view?usp=drive_link" TargetMode="External"/><Relationship Id="rId512" Type="http://schemas.openxmlformats.org/officeDocument/2006/relationships/hyperlink" Target="https://drive.google.com/drive/folders/1V6cdMMkRq-1rWwH1Rsgxxjv0KsV3W0eo?usp=drive_link" TargetMode="External"/><Relationship Id="rId511" Type="http://schemas.openxmlformats.org/officeDocument/2006/relationships/hyperlink" Target="https://drive.google.com/file/d/1sabohjEXDoSntOerkP7hcLVhtqNEHwGK/view?usp=drive_link" TargetMode="External"/><Relationship Id="rId518" Type="http://schemas.openxmlformats.org/officeDocument/2006/relationships/hyperlink" Target="https://drive.google.com/file/d/189cm7TRf1XpVBhlfOwduxZfZAzfB59ur/view?usp=drive_link" TargetMode="External"/><Relationship Id="rId517" Type="http://schemas.openxmlformats.org/officeDocument/2006/relationships/hyperlink" Target="https://drive.google.com/drive/folders/1V6cdMMkRq-1rWwH1Rsgxxjv0KsV3W0eo?usp=drive_link" TargetMode="External"/><Relationship Id="rId516" Type="http://schemas.openxmlformats.org/officeDocument/2006/relationships/hyperlink" Target="https://drive.google.com/file/d/1vOqpBA5I9nwfU7mMIgvmFFrvTflrGom2/view?usp=drive_link" TargetMode="External"/><Relationship Id="rId515" Type="http://schemas.openxmlformats.org/officeDocument/2006/relationships/hyperlink" Target="https://drive.google.com/drive/folders/1V6cdMMkRq-1rWwH1Rsgxxjv0KsV3W0eo?usp=drive_link" TargetMode="External"/><Relationship Id="rId15" Type="http://schemas.openxmlformats.org/officeDocument/2006/relationships/hyperlink" Target="https://drive.google.com/open?id=1a1wJmHJdBRLJ238I37o8juApdyd_RvBy" TargetMode="External"/><Relationship Id="rId14" Type="http://schemas.openxmlformats.org/officeDocument/2006/relationships/hyperlink" Target="https://drive.google.com/open?id=1Mc5Ov__oyQM1nHAAKHeHzxtUWzNk1h2f" TargetMode="External"/><Relationship Id="rId17" Type="http://schemas.openxmlformats.org/officeDocument/2006/relationships/hyperlink" Target="https://drive.google.com/open?id=1VmtAPS7Z4YzLGtkSAfGjb_M1FsBfEIUw" TargetMode="External"/><Relationship Id="rId16" Type="http://schemas.openxmlformats.org/officeDocument/2006/relationships/hyperlink" Target="https://drive.google.com/open?id=1a1wJmHJdBRLJ238I37o8juApdyd_RvBy" TargetMode="External"/><Relationship Id="rId19" Type="http://schemas.openxmlformats.org/officeDocument/2006/relationships/hyperlink" Target="https://drive.google.com/open?id=1a1wJmHJdBRLJ238I37o8juApdyd_RvBy" TargetMode="External"/><Relationship Id="rId510" Type="http://schemas.openxmlformats.org/officeDocument/2006/relationships/hyperlink" Target="https://drive.google.com/drive/folders/1V6cdMMkRq-1rWwH1Rsgxxjv0KsV3W0eo?usp=drive_link" TargetMode="External"/><Relationship Id="rId18" Type="http://schemas.openxmlformats.org/officeDocument/2006/relationships/hyperlink" Target="https://drive.google.com/open?id=1a1wJmHJdBRLJ238I37o8juApdyd_RvBy" TargetMode="External"/><Relationship Id="rId84" Type="http://schemas.openxmlformats.org/officeDocument/2006/relationships/hyperlink" Target="https://drive.google.com/file/d/1gvo_t3tFaQxUjdT88mEIbymrE77za8GT/view?usp=drivesdk" TargetMode="External"/><Relationship Id="rId83" Type="http://schemas.openxmlformats.org/officeDocument/2006/relationships/hyperlink" Target="https://drive.google.com/open?id=1LIGViFq2suFLP1UiaI6U0gYu2R_-ONH_" TargetMode="External"/><Relationship Id="rId86" Type="http://schemas.openxmlformats.org/officeDocument/2006/relationships/hyperlink" Target="https://drive.google.com/open?id=1RHJMqCcxkp6tRhw_-E9XPfrUuxi0mekv" TargetMode="External"/><Relationship Id="rId85" Type="http://schemas.openxmlformats.org/officeDocument/2006/relationships/hyperlink" Target="https://drive.google.com/open?id=1RHJMqCcxkp6tRhw_-E9XPfrUuxi0mekv" TargetMode="External"/><Relationship Id="rId88" Type="http://schemas.openxmlformats.org/officeDocument/2006/relationships/hyperlink" Target="https://drive.google.com/file/d/1exBr1F9bHKFAhqnx6db7RfWzWFVKhnYW/view?usp=drive_link" TargetMode="External"/><Relationship Id="rId87" Type="http://schemas.openxmlformats.org/officeDocument/2006/relationships/hyperlink" Target="https://drive.google.com/open?id=1RHJMqCcxkp6tRhw_-E9XPfrUuxi0mekv" TargetMode="External"/><Relationship Id="rId89" Type="http://schemas.openxmlformats.org/officeDocument/2006/relationships/hyperlink" Target="https://drive.google.com/open?id=1hbjQbWhs9oS1yjNsFzF7XsgDjuGcJ0Wn" TargetMode="External"/><Relationship Id="rId80" Type="http://schemas.openxmlformats.org/officeDocument/2006/relationships/hyperlink" Target="https://drive.google.com/file/d/1FkGgLuxCOZaQYDKRV3_pnyXA-lMwKYdx/view?usp=drivesdk" TargetMode="External"/><Relationship Id="rId82" Type="http://schemas.openxmlformats.org/officeDocument/2006/relationships/hyperlink" Target="https://drive.google.com/file/d/1zF1K7QoW6OaCDdpPE48vwFALAwcEGBYj/view?usp=drive_link" TargetMode="External"/><Relationship Id="rId81" Type="http://schemas.openxmlformats.org/officeDocument/2006/relationships/hyperlink" Target="https://drive.google.com/file/d/1J2A_yaJoLnP_-4I2I4FIVGUmlr-TI8i-/view?usp=drive_link" TargetMode="External"/><Relationship Id="rId73" Type="http://schemas.openxmlformats.org/officeDocument/2006/relationships/hyperlink" Target="https://drive.google.com/open?id=13jpRStvka72s2eetDNtI8DHEYXPUbtOC" TargetMode="External"/><Relationship Id="rId72" Type="http://schemas.openxmlformats.org/officeDocument/2006/relationships/hyperlink" Target="https://drive.google.com/open?id=13jpRStvka72s2eetDNtI8DHEYXPUbtOC" TargetMode="External"/><Relationship Id="rId75" Type="http://schemas.openxmlformats.org/officeDocument/2006/relationships/hyperlink" Target="https://drive.google.com/open?id=1UmBxXpSAgfoozn-xNmwXy1wO-oxwb3Pt" TargetMode="External"/><Relationship Id="rId74" Type="http://schemas.openxmlformats.org/officeDocument/2006/relationships/hyperlink" Target="https://drive.google.com/open?id=13jpRStvka72s2eetDNtI8DHEYXPUbtOC" TargetMode="External"/><Relationship Id="rId77" Type="http://schemas.openxmlformats.org/officeDocument/2006/relationships/hyperlink" Target="https://drive.google.com/file/d/18oEQcU1SZA3W_zlqTK8lxMIzEXfgA_GP/view?usp=drive_link" TargetMode="External"/><Relationship Id="rId76" Type="http://schemas.openxmlformats.org/officeDocument/2006/relationships/hyperlink" Target="https://drive.google.com/open?id=1RIAvK-5z33O1Vz1mOuqUd_eHry8Gvc_n" TargetMode="External"/><Relationship Id="rId79" Type="http://schemas.openxmlformats.org/officeDocument/2006/relationships/hyperlink" Target="https://drive.google.com/open?id=1LIGViFq2suFLP1UiaI6U0gYu2R_-ONH_" TargetMode="External"/><Relationship Id="rId78" Type="http://schemas.openxmlformats.org/officeDocument/2006/relationships/hyperlink" Target="https://drive.google.com/open?id=1UmBxXpSAgfoozn-xNmwXy1wO-oxwb3Pt" TargetMode="External"/><Relationship Id="rId71" Type="http://schemas.openxmlformats.org/officeDocument/2006/relationships/hyperlink" Target="https://drive.google.com/file/d/1sFsAXUB6bubaOEezomH8X5zvCculw7ji/view?usp=drive_link" TargetMode="External"/><Relationship Id="rId70" Type="http://schemas.openxmlformats.org/officeDocument/2006/relationships/hyperlink" Target="https://drive.google.com/file/d/1J9mrjGEG5lYuuHfSIXD99yG4yAZyi4kE/view?usp=drive_link" TargetMode="External"/><Relationship Id="rId62" Type="http://schemas.openxmlformats.org/officeDocument/2006/relationships/hyperlink" Target="https://drive.google.com/file/d/12FL5nXvtWHU3VRA1r-txpkEwnzKYTqaq/view?usp=drive_link" TargetMode="External"/><Relationship Id="rId61" Type="http://schemas.openxmlformats.org/officeDocument/2006/relationships/hyperlink" Target="https://drive.google.com/file/d/1IlPNln41BGGn3djp4Hp3Qwn89eHmT9Ug/view?usp=drive_link" TargetMode="External"/><Relationship Id="rId64" Type="http://schemas.openxmlformats.org/officeDocument/2006/relationships/hyperlink" Target="https://drive.google.com/open?id=11eT09FCE4qrN8I-YvnxNvtUgLI-z6t45" TargetMode="External"/><Relationship Id="rId63" Type="http://schemas.openxmlformats.org/officeDocument/2006/relationships/hyperlink" Target="https://drive.google.com/open?id=1LwPbCaFCuoz2XKFLUW0mzLaADMbL8cO8" TargetMode="External"/><Relationship Id="rId66" Type="http://schemas.openxmlformats.org/officeDocument/2006/relationships/hyperlink" Target="https://drive.google.com/open?id=11oFxFbohZB_RrZfxmsDgCtRQb97xPGDa" TargetMode="External"/><Relationship Id="rId65" Type="http://schemas.openxmlformats.org/officeDocument/2006/relationships/hyperlink" Target="https://drive.google.com/open?id=11eT09FCE4qrN8I-YvnxNvtUgLI-z6t45" TargetMode="External"/><Relationship Id="rId68" Type="http://schemas.openxmlformats.org/officeDocument/2006/relationships/hyperlink" Target="https://drive.google.com/open?id=11eT09FCE4qrN8I-YvnxNvtUgLI-z6t45" TargetMode="External"/><Relationship Id="rId67" Type="http://schemas.openxmlformats.org/officeDocument/2006/relationships/hyperlink" Target="https://drive.google.com/open?id=1weN-FW0s4yMEfvYz_yC3U0k4WfLBDxgD" TargetMode="External"/><Relationship Id="rId60" Type="http://schemas.openxmlformats.org/officeDocument/2006/relationships/hyperlink" Target="https://drive.google.com/open?id=1ThDqWpQ8r0AP5heFymaTSs4TrwM4maj2" TargetMode="External"/><Relationship Id="rId69" Type="http://schemas.openxmlformats.org/officeDocument/2006/relationships/hyperlink" Target="https://drive.google.com/open?id=11K17HStqLiAWbAJdAJkCU6tRCsX6hgwn" TargetMode="External"/><Relationship Id="rId51" Type="http://schemas.openxmlformats.org/officeDocument/2006/relationships/hyperlink" Target="https://drive.google.com/open?id=1LwPbCaFCuoz2XKFLUW0mzLaADMbL8cO8" TargetMode="External"/><Relationship Id="rId50" Type="http://schemas.openxmlformats.org/officeDocument/2006/relationships/hyperlink" Target="https://drive.google.com/file/d/1cC4FzVBv_ceShJ8CxcLq5PfIbw0y-x4C/view?usp=drive_link" TargetMode="External"/><Relationship Id="rId53" Type="http://schemas.openxmlformats.org/officeDocument/2006/relationships/hyperlink" Target="https://drive.google.com/file/d/1YB9Jz7FRDeb2LgBI2HDetOE2ULEWzf8M/view?usp=drivesdk" TargetMode="External"/><Relationship Id="rId52" Type="http://schemas.openxmlformats.org/officeDocument/2006/relationships/hyperlink" Target="https://drive.google.com/open?id=1LwPbCaFCuoz2XKFLUW0mzLaADMbL8cO8" TargetMode="External"/><Relationship Id="rId55" Type="http://schemas.openxmlformats.org/officeDocument/2006/relationships/hyperlink" Target="https://drive.google.com/file/d/1BDzWx7VYLlVjTFD5SiYONiN8lh5CyVDu/view?usp=drive_link" TargetMode="External"/><Relationship Id="rId54" Type="http://schemas.openxmlformats.org/officeDocument/2006/relationships/hyperlink" Target="https://drive.google.com/file/d/1e6kq5IPL7xvAvGjA1l6qSpj7Z5i_F-JB/view?usp=drive_link" TargetMode="External"/><Relationship Id="rId57" Type="http://schemas.openxmlformats.org/officeDocument/2006/relationships/hyperlink" Target="https://drive.google.com/file/d/1FgaSKCQIT0IR9_cMFUMwP1qzgFlBcggH/view?usp=drive_link" TargetMode="External"/><Relationship Id="rId56" Type="http://schemas.openxmlformats.org/officeDocument/2006/relationships/hyperlink" Target="https://drive.google.com/file/d/1YHtRM6IoKatqIFT6AxpS0wCfLeNkGvQY/view?usp=drive_link" TargetMode="External"/><Relationship Id="rId59" Type="http://schemas.openxmlformats.org/officeDocument/2006/relationships/hyperlink" Target="https://drive.google.com/file/d/1Q42VhO6flRWhTn7jBhmMkt_nAMqbtXLV/view?usp=drivesdk" TargetMode="External"/><Relationship Id="rId58" Type="http://schemas.openxmlformats.org/officeDocument/2006/relationships/hyperlink" Target="https://drive.google.com/open?id=1Z2GwNCXKgA1JrEVj-UFz4qDicCX7HVL3" TargetMode="External"/><Relationship Id="rId107" Type="http://schemas.openxmlformats.org/officeDocument/2006/relationships/hyperlink" Target="https://drive.google.com/open?id=1vWe9Xvx9svKVX0ZwOPipcT0lNedv7SNB" TargetMode="External"/><Relationship Id="rId228" Type="http://schemas.openxmlformats.org/officeDocument/2006/relationships/hyperlink" Target="https://drive.google.com/open?id=1SssiCoFTZC0myNAvaxfUN_It2eseeB-4" TargetMode="External"/><Relationship Id="rId349" Type="http://schemas.openxmlformats.org/officeDocument/2006/relationships/hyperlink" Target="https://drive.google.com/file/d/1e--5GnRoqCjiAt6AxqbiTaC4YBl3zUre/view?usp=drive_link" TargetMode="External"/><Relationship Id="rId106" Type="http://schemas.openxmlformats.org/officeDocument/2006/relationships/hyperlink" Target="https://drive.google.com/file/d/1Qu30FbG_LmCPnGibqYMvlOopHCRnAFkk/view?usp=drive_link" TargetMode="External"/><Relationship Id="rId227" Type="http://schemas.openxmlformats.org/officeDocument/2006/relationships/hyperlink" Target="https://drive.google.com/open?id=1933fmFvCnSPBkWRNk08ZOAIvJm8Z-09s" TargetMode="External"/><Relationship Id="rId348" Type="http://schemas.openxmlformats.org/officeDocument/2006/relationships/hyperlink" Target="https://drive.google.com/file/d/1lDFrPClo_QgDsNJ68svLRZjVkyHUSJhc/view?usp=drive_link" TargetMode="External"/><Relationship Id="rId469" Type="http://schemas.openxmlformats.org/officeDocument/2006/relationships/hyperlink" Target="https://drive.google.com/file/d/1K2j1AWgdbAkmG9zGLcTxiHse7cH2a0SX/view?usp=drive_link" TargetMode="External"/><Relationship Id="rId105" Type="http://schemas.openxmlformats.org/officeDocument/2006/relationships/hyperlink" Target="https://drive.google.com/file/d/1c31EJfZN9z40VpYpGLE8d2wXmK3oHQXo/view?usp=drivesdk" TargetMode="External"/><Relationship Id="rId226" Type="http://schemas.openxmlformats.org/officeDocument/2006/relationships/hyperlink" Target="https://drive.google.com/open?id=1933fmFvCnSPBkWRNk08ZOAIvJm8Z-09s" TargetMode="External"/><Relationship Id="rId347" Type="http://schemas.openxmlformats.org/officeDocument/2006/relationships/hyperlink" Target="https://drive.google.com/drive/folders/16BqTq_LgKbPrCxzwMpfTN2NHoLA6Bpl4?usp=drive_link" TargetMode="External"/><Relationship Id="rId468" Type="http://schemas.openxmlformats.org/officeDocument/2006/relationships/hyperlink" Target="https://drive.google.com/drive/folders/1FFChEzMA1ub726QQDcfMkuyHoNdJoIYt?usp=drive_link" TargetMode="External"/><Relationship Id="rId104" Type="http://schemas.openxmlformats.org/officeDocument/2006/relationships/hyperlink" Target="https://drive.google.com/file/d/1hhN4s0AkTpX9u5y55vstQvNKfLf-qzDL/view?usp=drive_link" TargetMode="External"/><Relationship Id="rId225" Type="http://schemas.openxmlformats.org/officeDocument/2006/relationships/hyperlink" Target="https://drive.google.com/open?id=1933fmFvCnSPBkWRNk08ZOAIvJm8Z-09s" TargetMode="External"/><Relationship Id="rId346" Type="http://schemas.openxmlformats.org/officeDocument/2006/relationships/hyperlink" Target="https://drive.google.com/file/d/1RSNf9gdl-dVnMA3mIy1yNmhATsKscfx3/view?usp=drive_link" TargetMode="External"/><Relationship Id="rId467" Type="http://schemas.openxmlformats.org/officeDocument/2006/relationships/hyperlink" Target="https://drive.google.com/file/d/1sa2H6pr3sbrzT7tur-ew5yKEqVow1419/view?usp=drive_link" TargetMode="External"/><Relationship Id="rId109" Type="http://schemas.openxmlformats.org/officeDocument/2006/relationships/hyperlink" Target="https://drive.google.com/open?id=1qxBdhKLy2dXoMZ1uZwYR7kSDIp9fRW3g" TargetMode="External"/><Relationship Id="rId108" Type="http://schemas.openxmlformats.org/officeDocument/2006/relationships/hyperlink" Target="https://drive.google.com/open?id=1qxBdhKLy2dXoMZ1uZwYR7kSDIp9fRW3g" TargetMode="External"/><Relationship Id="rId229" Type="http://schemas.openxmlformats.org/officeDocument/2006/relationships/hyperlink" Target="https://drive.google.com/open?id=1SssiCoFTZC0myNAvaxfUN_It2eseeB-4" TargetMode="External"/><Relationship Id="rId220" Type="http://schemas.openxmlformats.org/officeDocument/2006/relationships/hyperlink" Target="https://docs.google.com/spreadsheets/u/2/d/1ij4onlBGcx01j1Ysd_7kK59W2brxpI8N/edit" TargetMode="External"/><Relationship Id="rId341" Type="http://schemas.openxmlformats.org/officeDocument/2006/relationships/hyperlink" Target="https://drive.google.com/drive/folders/16BqTq_LgKbPrCxzwMpfTN2NHoLA6Bpl4?usp=drive_link" TargetMode="External"/><Relationship Id="rId462" Type="http://schemas.openxmlformats.org/officeDocument/2006/relationships/hyperlink" Target="https://drive.google.com/file/d/1IcP0QrS6N2z32GQ5iCgMSXxKqO3G16xN/view?usp=sharing" TargetMode="External"/><Relationship Id="rId340" Type="http://schemas.openxmlformats.org/officeDocument/2006/relationships/hyperlink" Target="https://drive.google.com/file/d/18ZTjZ8ySjIOpWx6k_CYv30UHbfmaDQX-/view?usp=drive_link" TargetMode="External"/><Relationship Id="rId461" Type="http://schemas.openxmlformats.org/officeDocument/2006/relationships/hyperlink" Target="https://drive.google.com/file/d/17UsSr7vw4nOeQuFktpe7wXjSDhNtQvmd/view?usp=drive_link" TargetMode="External"/><Relationship Id="rId460" Type="http://schemas.openxmlformats.org/officeDocument/2006/relationships/hyperlink" Target="https://drive.google.com/file/d/17UsSr7vw4nOeQuFktpe7wXjSDhNtQvmd/view?usp=drive_link" TargetMode="External"/><Relationship Id="rId103" Type="http://schemas.openxmlformats.org/officeDocument/2006/relationships/hyperlink" Target="https://drive.google.com/file/d/1CkiXBC1pulUrp5fEekUawv44kfCvj1kM/view?usp=drivesdk" TargetMode="External"/><Relationship Id="rId224" Type="http://schemas.openxmlformats.org/officeDocument/2006/relationships/hyperlink" Target="https://drive.google.com/open?id=1933fmFvCnSPBkWRNk08ZOAIvJm8Z-09s" TargetMode="External"/><Relationship Id="rId345" Type="http://schemas.openxmlformats.org/officeDocument/2006/relationships/hyperlink" Target="https://drive.google.com/drive/folders/16BqTq_LgKbPrCxzwMpfTN2NHoLA6Bpl4?usp=drive_link" TargetMode="External"/><Relationship Id="rId466" Type="http://schemas.openxmlformats.org/officeDocument/2006/relationships/hyperlink" Target="https://drive.google.com/drive/folders/1FFChEzMA1ub726QQDcfMkuyHoNdJoIYt?usp=drive_link" TargetMode="External"/><Relationship Id="rId102" Type="http://schemas.openxmlformats.org/officeDocument/2006/relationships/hyperlink" Target="https://drive.google.com/open?id=1UmBxXpSAgfoozn-xNmwXy1wO-oxwb3Pt" TargetMode="External"/><Relationship Id="rId223" Type="http://schemas.openxmlformats.org/officeDocument/2006/relationships/hyperlink" Target="https://zoronccl.sharepoint.com/:b:/s/Zoron/IQC6SgfFGGJYSqQKys13dH54ASrDLJm3DPh94katyIdEfTI?e=7Hw0hc" TargetMode="External"/><Relationship Id="rId344" Type="http://schemas.openxmlformats.org/officeDocument/2006/relationships/hyperlink" Target="https://drive.google.com/file/d/1Hf_dqoOfoRJnx5Pk00ci9xdFT9DyZCRf/view?usp=drive_link" TargetMode="External"/><Relationship Id="rId465" Type="http://schemas.openxmlformats.org/officeDocument/2006/relationships/hyperlink" Target="https://drive.google.com/file/d/1LeFSzPDL7v1jlAA5mW6HgSaTO51fbVt9/view?usp=drive_link" TargetMode="External"/><Relationship Id="rId101" Type="http://schemas.openxmlformats.org/officeDocument/2006/relationships/hyperlink" Target="https://drive.google.com/open?id=1NzOlpJISU_ZZPp0O4VB9kqDGhCzX6vaS" TargetMode="External"/><Relationship Id="rId222" Type="http://schemas.openxmlformats.org/officeDocument/2006/relationships/hyperlink" Target="https://drive.google.com/open?id=1933fmFvCnSPBkWRNk08ZOAIvJm8Z-09s" TargetMode="External"/><Relationship Id="rId343" Type="http://schemas.openxmlformats.org/officeDocument/2006/relationships/hyperlink" Target="https://drive.google.com/drive/folders/16BqTq_LgKbPrCxzwMpfTN2NHoLA6Bpl4?usp=drive_link" TargetMode="External"/><Relationship Id="rId464" Type="http://schemas.openxmlformats.org/officeDocument/2006/relationships/hyperlink" Target="https://drive.google.com/drive/folders/1FFChEzMA1ub726QQDcfMkuyHoNdJoIYt?usp=drive_link" TargetMode="External"/><Relationship Id="rId100" Type="http://schemas.openxmlformats.org/officeDocument/2006/relationships/hyperlink" Target="https://drive.google.com/open?id=1NzOlpJISU_ZZPp0O4VB9kqDGhCzX6vaS" TargetMode="External"/><Relationship Id="rId221" Type="http://schemas.openxmlformats.org/officeDocument/2006/relationships/hyperlink" Target="https://drive.google.com/open?id=1zK85sVIFSTNTfEC8J0lVnan4W6SL3Uv4" TargetMode="External"/><Relationship Id="rId342" Type="http://schemas.openxmlformats.org/officeDocument/2006/relationships/hyperlink" Target="https://drive.google.com/file/d/1-l-D9Nqfb05RoQVZ3wchZca5MLQnEJef/view?usp=drive_link" TargetMode="External"/><Relationship Id="rId463" Type="http://schemas.openxmlformats.org/officeDocument/2006/relationships/hyperlink" Target="https://drive.google.com/file/d/1SUwJoF_UZ6vHoYCMCMW_XpeIIWotGPBw/view?usp=drive_link" TargetMode="External"/><Relationship Id="rId217" Type="http://schemas.openxmlformats.org/officeDocument/2006/relationships/hyperlink" Target="https://drive.google.com/open?id=1933fmFvCnSPBkWRNk08ZOAIvJm8Z-09s" TargetMode="External"/><Relationship Id="rId338" Type="http://schemas.openxmlformats.org/officeDocument/2006/relationships/hyperlink" Target="https://drive.google.com/file/d/13gPM33FU8Uv8cUmp3BqvZ3WfaM8SoIlB/view?usp=sharing" TargetMode="External"/><Relationship Id="rId459" Type="http://schemas.openxmlformats.org/officeDocument/2006/relationships/hyperlink" Target="https://drive.google.com/file/d/1qPLxZB7FPA5MLvHJkPKBN4c7Ktemv7Xn/view?usp=drive_link" TargetMode="External"/><Relationship Id="rId216" Type="http://schemas.openxmlformats.org/officeDocument/2006/relationships/hyperlink" Target="https://drive.google.com/open?id=1933fmFvCnSPBkWRNk08ZOAIvJm8Z-09s" TargetMode="External"/><Relationship Id="rId337" Type="http://schemas.openxmlformats.org/officeDocument/2006/relationships/hyperlink" Target="https://drive.google.com/file/d/1gMVD80nro-DlhERnYwKtctdQKg3PqrLf/view?usp=drive_link" TargetMode="External"/><Relationship Id="rId458" Type="http://schemas.openxmlformats.org/officeDocument/2006/relationships/hyperlink" Target="https://drive.google.com/file/d/17UsSr7vw4nOeQuFktpe7wXjSDhNtQvmd/view?usp=drive_link" TargetMode="External"/><Relationship Id="rId215" Type="http://schemas.openxmlformats.org/officeDocument/2006/relationships/hyperlink" Target="https://drive.google.com/open?id=1zK85sVIFSTNTfEC8J0lVnan4W6SL3Uv4" TargetMode="External"/><Relationship Id="rId336" Type="http://schemas.openxmlformats.org/officeDocument/2006/relationships/hyperlink" Target="https://drive.google.com/file/d/1ZailSlRO4nZIVdLsXDkmhPdeM2025O3B/view?usp=drive_link" TargetMode="External"/><Relationship Id="rId457" Type="http://schemas.openxmlformats.org/officeDocument/2006/relationships/hyperlink" Target="https://drive.google.com/file/d/1l0qBwusGdw3nmeytVENBDODzH39SR7op/view?usp=drive_link" TargetMode="External"/><Relationship Id="rId214" Type="http://schemas.openxmlformats.org/officeDocument/2006/relationships/hyperlink" Target="https://docs.google.com/spreadsheets/u/2/d/1ij4onlBGcx01j1Ysd_7kK59W2brxpI8N/edit" TargetMode="External"/><Relationship Id="rId335" Type="http://schemas.openxmlformats.org/officeDocument/2006/relationships/hyperlink" Target="https://drive.google.com/file/d/10Dimsrq-mW3JpeRDyg-I_RSHBN0AmIfv/view?usp=drive_link" TargetMode="External"/><Relationship Id="rId456" Type="http://schemas.openxmlformats.org/officeDocument/2006/relationships/hyperlink" Target="https://drive.google.com/file/d/1-cEtyjcx2qNZyAQtENjTnO_ZS5Ati08z/view?usp=drive_link" TargetMode="External"/><Relationship Id="rId219" Type="http://schemas.openxmlformats.org/officeDocument/2006/relationships/hyperlink" Target="https://drive.google.com/open?id=1933fmFvCnSPBkWRNk08ZOAIvJm8Z-09s" TargetMode="External"/><Relationship Id="rId218" Type="http://schemas.openxmlformats.org/officeDocument/2006/relationships/hyperlink" Target="https://drive.google.com/open?id=1933fmFvCnSPBkWRNk08ZOAIvJm8Z-09s" TargetMode="External"/><Relationship Id="rId339" Type="http://schemas.openxmlformats.org/officeDocument/2006/relationships/hyperlink" Target="https://drive.google.com/drive/folders/16BqTq_LgKbPrCxzwMpfTN2NHoLA6Bpl4?usp=drive_link" TargetMode="External"/><Relationship Id="rId330" Type="http://schemas.openxmlformats.org/officeDocument/2006/relationships/hyperlink" Target="https://drive.google.com/drive/folders/16BqTq_LgKbPrCxzwMpfTN2NHoLA6Bpl4?usp=drive_link" TargetMode="External"/><Relationship Id="rId451" Type="http://schemas.openxmlformats.org/officeDocument/2006/relationships/hyperlink" Target="https://drive.google.com/file/d/1N5hJsbigwNJ8xRKkDuaxNQamIEhycskg/view?usp=drive_link" TargetMode="External"/><Relationship Id="rId450" Type="http://schemas.openxmlformats.org/officeDocument/2006/relationships/hyperlink" Target="https://drive.google.com/file/d/1upScjiXqVb5HlKfZdr5UV6LM4pItEki-/view?usp=drive_link" TargetMode="External"/><Relationship Id="rId213" Type="http://schemas.openxmlformats.org/officeDocument/2006/relationships/hyperlink" Target="https://drive.google.com/open?id=1933fmFvCnSPBkWRNk08ZOAIvJm8Z-09s" TargetMode="External"/><Relationship Id="rId334" Type="http://schemas.openxmlformats.org/officeDocument/2006/relationships/hyperlink" Target="https://drive.google.com/drive/folders/16BqTq_LgKbPrCxzwMpfTN2NHoLA6Bpl4?usp=drive_link" TargetMode="External"/><Relationship Id="rId455" Type="http://schemas.openxmlformats.org/officeDocument/2006/relationships/hyperlink" Target="https://drive.google.com/file/d/1LCoTNRTayISJpZNZIrPK5OTQkAo9usT3/view?usp=sharing" TargetMode="External"/><Relationship Id="rId212" Type="http://schemas.openxmlformats.org/officeDocument/2006/relationships/hyperlink" Target="https://drive.google.com/open?id=1933fmFvCnSPBkWRNk08ZOAIvJm8Z-09s" TargetMode="External"/><Relationship Id="rId333" Type="http://schemas.openxmlformats.org/officeDocument/2006/relationships/hyperlink" Target="https://drive.google.com/file/d/17CSTDWUc-etWMwRS6_a4QAW3Zsdhc_jL/view?usp=drive_link" TargetMode="External"/><Relationship Id="rId454" Type="http://schemas.openxmlformats.org/officeDocument/2006/relationships/hyperlink" Target="https://drive.google.com/file/d/1sM7ZQEenY_jpN0YoXnXabSal-o794sEO/view?usp=drive_link" TargetMode="External"/><Relationship Id="rId211" Type="http://schemas.openxmlformats.org/officeDocument/2006/relationships/hyperlink" Target="https://drive.google.com/open?id=1933fmFvCnSPBkWRNk08ZOAIvJm8Z-09s" TargetMode="External"/><Relationship Id="rId332" Type="http://schemas.openxmlformats.org/officeDocument/2006/relationships/hyperlink" Target="https://drive.google.com/drive/folders/16BqTq_LgKbPrCxzwMpfTN2NHoLA6Bpl4?usp=drive_link" TargetMode="External"/><Relationship Id="rId453" Type="http://schemas.openxmlformats.org/officeDocument/2006/relationships/hyperlink" Target="https://drive.google.com/drive/folders/1V6cdMMkRq-1rWwH1Rsgxxjv0KsV3W0eo?usp=drive_link" TargetMode="External"/><Relationship Id="rId210" Type="http://schemas.openxmlformats.org/officeDocument/2006/relationships/hyperlink" Target="https://drive.google.com/open?id=1933fmFvCnSPBkWRNk08ZOAIvJm8Z-09s" TargetMode="External"/><Relationship Id="rId331" Type="http://schemas.openxmlformats.org/officeDocument/2006/relationships/hyperlink" Target="https://drive.google.com/file/d/1GTC7bOelsPmBuV3uNZJz8U6cUBpd7uzR/view?usp=drive_link" TargetMode="External"/><Relationship Id="rId452" Type="http://schemas.openxmlformats.org/officeDocument/2006/relationships/hyperlink" Target="https://drive.google.com/file/d/11_p0nLMktXTW8hMzZ1D6NrzX2H0h6Zx4/view?usp=drive_link" TargetMode="External"/><Relationship Id="rId370" Type="http://schemas.openxmlformats.org/officeDocument/2006/relationships/hyperlink" Target="https://drive.google.com/drive/folders/1eR2JJ6QCx7pHh-D11koOUQucBKQGOmDm?usp=drive_link" TargetMode="External"/><Relationship Id="rId491" Type="http://schemas.openxmlformats.org/officeDocument/2006/relationships/hyperlink" Target="https://drive.google.com/file/d/1bkEuqjooyAKNtjcPEUNlV1i5pkBkku_1/view?usp=drive_link" TargetMode="External"/><Relationship Id="rId490" Type="http://schemas.openxmlformats.org/officeDocument/2006/relationships/hyperlink" Target="https://drive.google.com/drive/folders/1V6cdMMkRq-1rWwH1Rsgxxjv0KsV3W0eo?usp=drive_link" TargetMode="External"/><Relationship Id="rId129" Type="http://schemas.openxmlformats.org/officeDocument/2006/relationships/hyperlink" Target="https://drive.google.com/open?id=14bE1oBsz_Xn3d_yF6zOQVWgVrtEfG4W8" TargetMode="External"/><Relationship Id="rId128" Type="http://schemas.openxmlformats.org/officeDocument/2006/relationships/hyperlink" Target="https://drive.google.com/open?id=1eCQKQsUKac6AEN5lInQhajpWw6mB4KGt" TargetMode="External"/><Relationship Id="rId249" Type="http://schemas.openxmlformats.org/officeDocument/2006/relationships/hyperlink" Target="https://drive.google.com/drive/folders/16BqTq_LgKbPrCxzwMpfTN2NHoLA6Bpl4" TargetMode="External"/><Relationship Id="rId127" Type="http://schemas.openxmlformats.org/officeDocument/2006/relationships/hyperlink" Target="https://drive.google.com/open?id=1eCQKQsUKac6AEN5lInQhajpWw6mB4KGt" TargetMode="External"/><Relationship Id="rId248" Type="http://schemas.openxmlformats.org/officeDocument/2006/relationships/hyperlink" Target="https://drive.google.com/open?id=1CKbWpbIpwaI-O5zZhxs1EFFzKaGXc6WW" TargetMode="External"/><Relationship Id="rId369" Type="http://schemas.openxmlformats.org/officeDocument/2006/relationships/hyperlink" Target="https://drive.google.com/file/d/1ZfzV55ff4ULvb7zYseaR6x5zafVp6NjH/view?usp=drive_link" TargetMode="External"/><Relationship Id="rId126" Type="http://schemas.openxmlformats.org/officeDocument/2006/relationships/hyperlink" Target="https://drive.google.com/open?id=1eCQKQsUKac6AEN5lInQhajpWw6mB4KGt" TargetMode="External"/><Relationship Id="rId247" Type="http://schemas.openxmlformats.org/officeDocument/2006/relationships/hyperlink" Target="https://docs.google.com/spreadsheets/u/2/d/1XKPEEpwzd6YwR7BfYbNW0UFmMBYFMSEN/edit" TargetMode="External"/><Relationship Id="rId368" Type="http://schemas.openxmlformats.org/officeDocument/2006/relationships/hyperlink" Target="https://drive.google.com/file/d/1HcTi_xMAjYatTX9x_jyA7eJFEa4zZApd/view?usp=drive_link" TargetMode="External"/><Relationship Id="rId489" Type="http://schemas.openxmlformats.org/officeDocument/2006/relationships/hyperlink" Target="https://drive.google.com/file/d/1VPxcgGsKICntHp6Z05oP0wFEU6LOdKVs/view?usp=drive_link" TargetMode="External"/><Relationship Id="rId121" Type="http://schemas.openxmlformats.org/officeDocument/2006/relationships/hyperlink" Target="http://claude.ai/" TargetMode="External"/><Relationship Id="rId242" Type="http://schemas.openxmlformats.org/officeDocument/2006/relationships/hyperlink" Target="http://../../../:b:/s/Zoron/IQCiIarSOhGRTos6pzrBtrJ5AfXNFY610MfbV5NIH8cSvBM?e=tLsAZ6" TargetMode="External"/><Relationship Id="rId363" Type="http://schemas.openxmlformats.org/officeDocument/2006/relationships/hyperlink" Target="https://drive.google.com/file/d/1XIc9MkXWF-qNvpyiOswwNw8EHwNMAgyx/view?usp=drive_link" TargetMode="External"/><Relationship Id="rId484" Type="http://schemas.openxmlformats.org/officeDocument/2006/relationships/hyperlink" Target="https://drive.google.com/drive/folders/1V6cdMMkRq-1rWwH1Rsgxxjv0KsV3W0eo?usp=drive_link" TargetMode="External"/><Relationship Id="rId120" Type="http://schemas.openxmlformats.org/officeDocument/2006/relationships/hyperlink" Target="http://claude.ai/" TargetMode="External"/><Relationship Id="rId241" Type="http://schemas.openxmlformats.org/officeDocument/2006/relationships/hyperlink" Target="https://drive.google.com/file/d/1KgesHYrNfKJ8UGH2a6Rj00Tj4kSubKKe/view?usp=drive_link" TargetMode="External"/><Relationship Id="rId362" Type="http://schemas.openxmlformats.org/officeDocument/2006/relationships/hyperlink" Target="https://drive.google.com/file/d/1glIbkBCqHPPu6FFJl4K4NguCHo6laTli/view?usp=drive_link" TargetMode="External"/><Relationship Id="rId483" Type="http://schemas.openxmlformats.org/officeDocument/2006/relationships/hyperlink" Target="https://drive.google.com/file/d/1GlfSoNjYsmbKB5JfMMn4J5wZWVm6hzhs/view?usp=drive_link" TargetMode="External"/><Relationship Id="rId240" Type="http://schemas.openxmlformats.org/officeDocument/2006/relationships/hyperlink" Target="https://drive.google.com/file/d/1RRxTOw3KfsUNU8_JeQBDbgePW6_REgtA/view?usp=drive_link" TargetMode="External"/><Relationship Id="rId361" Type="http://schemas.openxmlformats.org/officeDocument/2006/relationships/hyperlink" Target="https://drive.google.com/file/d/15KdKgmr_Gf-WA3g8jmYhXxndodzcOZT2/view?usp=drive_link" TargetMode="External"/><Relationship Id="rId482" Type="http://schemas.openxmlformats.org/officeDocument/2006/relationships/hyperlink" Target="https://drive.google.com/drive/folders/1V6cdMMkRq-1rWwH1Rsgxxjv0KsV3W0eo?usp=drive_link" TargetMode="External"/><Relationship Id="rId360" Type="http://schemas.openxmlformats.org/officeDocument/2006/relationships/hyperlink" Target="https://drive.google.com/file/d/1UsXrRih33Vddjqa5NxNtXg-9e-IKGDZu/view?usp=drive_link" TargetMode="External"/><Relationship Id="rId481" Type="http://schemas.openxmlformats.org/officeDocument/2006/relationships/hyperlink" Target="https://drive.google.com/file/d/1YQB8c05sJ1tbWqO2eVqUB59_F4RvSGmz/view?usp=drive_link" TargetMode="External"/><Relationship Id="rId125" Type="http://schemas.openxmlformats.org/officeDocument/2006/relationships/hyperlink" Target="https://drive.google.com/open?id=11kZNLcOB0EXsGx4NaJ1Aq4qBfDwcegn_" TargetMode="External"/><Relationship Id="rId246" Type="http://schemas.openxmlformats.org/officeDocument/2006/relationships/hyperlink" Target="https://drive.google.com/open?id=1Ksgd-Q8J0QDLAZQyt6Je__o-sAP-DGGX&amp;usp=drive_copy" TargetMode="External"/><Relationship Id="rId367" Type="http://schemas.openxmlformats.org/officeDocument/2006/relationships/hyperlink" Target="https://drive.google.com/drive/folders/1V6cdMMkRq-1rWwH1Rsgxxjv0KsV3W0eo?usp=drive_link" TargetMode="External"/><Relationship Id="rId488" Type="http://schemas.openxmlformats.org/officeDocument/2006/relationships/hyperlink" Target="https://drive.google.com/drive/folders/1V6cdMMkRq-1rWwH1Rsgxxjv0KsV3W0eo?usp=drive_link" TargetMode="External"/><Relationship Id="rId124" Type="http://schemas.openxmlformats.org/officeDocument/2006/relationships/hyperlink" Target="https://drive.google.com/open?id=11kZNLcOB0EXsGx4NaJ1Aq4qBfDwcegn_" TargetMode="External"/><Relationship Id="rId245" Type="http://schemas.openxmlformats.org/officeDocument/2006/relationships/hyperlink" Target="https://drive.google.com/drive/folders/16BqTq_LgKbPrCxzwMpfTN2NHoLA6Bpl4" TargetMode="External"/><Relationship Id="rId366" Type="http://schemas.openxmlformats.org/officeDocument/2006/relationships/hyperlink" Target="https://drive.google.com/file/d/10p6NY0DfHCQk7PeMBnrzcfSdQwFDshhq/view?usp=drive_link" TargetMode="External"/><Relationship Id="rId487" Type="http://schemas.openxmlformats.org/officeDocument/2006/relationships/hyperlink" Target="https://drive.google.com/file/d/1YQZF3Ne0DS35SBjeCZOsXeBw2SwjDWgl/view?usp=drive_link" TargetMode="External"/><Relationship Id="rId123" Type="http://schemas.openxmlformats.org/officeDocument/2006/relationships/hyperlink" Target="https://drive.google.com/file/d/1vqaIEsXHx-8-xlQN-AJAt0s0ufIjITr6/view?usp=drivesdk" TargetMode="External"/><Relationship Id="rId244" Type="http://schemas.openxmlformats.org/officeDocument/2006/relationships/hyperlink" Target="https://drive.google.com/open?id=1NWhJqX3nvh34QppG2PegH8o6ek6lPLnH" TargetMode="External"/><Relationship Id="rId365" Type="http://schemas.openxmlformats.org/officeDocument/2006/relationships/hyperlink" Target="https://drive.google.com/file/d/1VjptDsJrYfrpb8JiP2hdyKNB2uPHBhFE/view?usp=drive_link" TargetMode="External"/><Relationship Id="rId486" Type="http://schemas.openxmlformats.org/officeDocument/2006/relationships/hyperlink" Target="https://drive.google.com/drive/folders/1V6cdMMkRq-1rWwH1Rsgxxjv0KsV3W0eo?usp=drive_link" TargetMode="External"/><Relationship Id="rId122" Type="http://schemas.openxmlformats.org/officeDocument/2006/relationships/hyperlink" Target="https://drive.google.com/open?id=14bE1oBsz_Xn3d_yF6zOQVWgVrtEfG4W8" TargetMode="External"/><Relationship Id="rId243" Type="http://schemas.openxmlformats.org/officeDocument/2006/relationships/hyperlink" Target="https://drive.google.com/open?id=1EOP5BkymIp5RjQMv23u_U3MKWJjFQZZr" TargetMode="External"/><Relationship Id="rId364" Type="http://schemas.openxmlformats.org/officeDocument/2006/relationships/hyperlink" Target="https://drive.google.com/file/d/1PcxakXHKOMzITTTnrmj1-ARqwVIRKX8n/view?usp=drive_link" TargetMode="External"/><Relationship Id="rId485" Type="http://schemas.openxmlformats.org/officeDocument/2006/relationships/hyperlink" Target="https://drive.google.com/file/d/1erIjJbNtwtRdTYs8nr4Cji3Eg903X3f8/view?usp=drive_link" TargetMode="External"/><Relationship Id="rId95" Type="http://schemas.openxmlformats.org/officeDocument/2006/relationships/hyperlink" Target="https://drive.google.com/open?id=1qxBdhKLy2dXoMZ1uZwYR7kSDIp9fRW3g" TargetMode="External"/><Relationship Id="rId94" Type="http://schemas.openxmlformats.org/officeDocument/2006/relationships/hyperlink" Target="https://drive.google.com/open?id=16xNkUYTmO4_J-F9OMymXTj5huRx2LMQO" TargetMode="External"/><Relationship Id="rId97" Type="http://schemas.openxmlformats.org/officeDocument/2006/relationships/hyperlink" Target="https://drive.google.com/open?id=1cyi5SFtg5ANBcIWdiPW__EqcS_YqQp4b" TargetMode="External"/><Relationship Id="rId96" Type="http://schemas.openxmlformats.org/officeDocument/2006/relationships/hyperlink" Target="https://drive.google.com/file/d/1JLucsHRpNVRk77yhajNLbNrzTR3hEuKS/view?usp=drive_link" TargetMode="External"/><Relationship Id="rId99" Type="http://schemas.openxmlformats.org/officeDocument/2006/relationships/hyperlink" Target="https://drive.google.com/open?id=1NzOlpJISU_ZZPp0O4VB9kqDGhCzX6vaS" TargetMode="External"/><Relationship Id="rId480" Type="http://schemas.openxmlformats.org/officeDocument/2006/relationships/hyperlink" Target="https://drive.google.com/drive/folders/1V6cdMMkRq-1rWwH1Rsgxxjv0KsV3W0eo?usp=drive_link" TargetMode="External"/><Relationship Id="rId98" Type="http://schemas.openxmlformats.org/officeDocument/2006/relationships/hyperlink" Target="https://drive.google.com/file/d/1KN2d6-OnywI_IfRkdpyXDJPEHS07YEI1/view?usp=drive_link" TargetMode="External"/><Relationship Id="rId91" Type="http://schemas.openxmlformats.org/officeDocument/2006/relationships/hyperlink" Target="https://drive.google.com/open?id=13jpRStvka72s2eetDNtI8DHEYXPUbtOC" TargetMode="External"/><Relationship Id="rId90" Type="http://schemas.openxmlformats.org/officeDocument/2006/relationships/hyperlink" Target="https://drive.google.com/open?id=1LIGViFq2suFLP1UiaI6U0gYu2R_-ONH_" TargetMode="External"/><Relationship Id="rId93" Type="http://schemas.openxmlformats.org/officeDocument/2006/relationships/hyperlink" Target="https://drive.google.com/file/d/1x6XtVRs1S_xCnDHwmava3CUh-cjuCFUE/view?usp=drivesdk" TargetMode="External"/><Relationship Id="rId92" Type="http://schemas.openxmlformats.org/officeDocument/2006/relationships/hyperlink" Target="https://drive.google.com/file/d/1e9fNEQwS0dydHaCtokbxszp-zmdwIWJy/view?usp=drive_link" TargetMode="External"/><Relationship Id="rId118" Type="http://schemas.openxmlformats.org/officeDocument/2006/relationships/hyperlink" Target="https://drive.google.com/file/d/1VDZpzvSFOohFFbkzNnXXtYdmWBK6FBi2/view?usp=drive_link" TargetMode="External"/><Relationship Id="rId239" Type="http://schemas.openxmlformats.org/officeDocument/2006/relationships/hyperlink" Target="https://drive.google.com/open?id=1NWhJqX3nvh34QppG2PegH8o6ek6lPLnH" TargetMode="External"/><Relationship Id="rId117" Type="http://schemas.openxmlformats.org/officeDocument/2006/relationships/hyperlink" Target="https://drive.google.com/file/d/1NerR83OwbjTbtHYPGw7wx9cgQIW6fFrY/view?usp=drive_link" TargetMode="External"/><Relationship Id="rId238" Type="http://schemas.openxmlformats.org/officeDocument/2006/relationships/hyperlink" Target="https://drive.google.com/open?id=1EOP5BkymIp5RjQMv23u_U3MKWJjFQZZr" TargetMode="External"/><Relationship Id="rId359" Type="http://schemas.openxmlformats.org/officeDocument/2006/relationships/hyperlink" Target="https://drive.google.com/file/d/1heICoKog_xIZLsApEHSBlTySfeOL7hPh/view?usp=drive_link" TargetMode="External"/><Relationship Id="rId116" Type="http://schemas.openxmlformats.org/officeDocument/2006/relationships/hyperlink" Target="https://drive.google.com/file/d/1z1OqWtExWsy6Zob4vthpdJ2rz25lt_41/view?usp=drive_link" TargetMode="External"/><Relationship Id="rId237" Type="http://schemas.openxmlformats.org/officeDocument/2006/relationships/hyperlink" Target="http://zoom.com/" TargetMode="External"/><Relationship Id="rId358" Type="http://schemas.openxmlformats.org/officeDocument/2006/relationships/hyperlink" Target="https://drive.google.com/file/d/1JFX9dx9xE1TpYc6iuVs3HAM6NxfuU1l3/view?usp=drive_link" TargetMode="External"/><Relationship Id="rId479" Type="http://schemas.openxmlformats.org/officeDocument/2006/relationships/hyperlink" Target="https://drive.google.com/file/d/1GSebmYkQ2CQ_JlJBNTARiqAW3FHRH296/view?usp=drive_link" TargetMode="External"/><Relationship Id="rId115" Type="http://schemas.openxmlformats.org/officeDocument/2006/relationships/hyperlink" Target="https://drive.google.com/file/d/1RzADjfCGqBYmwgOdHpH1sqayBghNNkal/view?usp=drive_link" TargetMode="External"/><Relationship Id="rId236" Type="http://schemas.openxmlformats.org/officeDocument/2006/relationships/hyperlink" Target="http://zoom.com/" TargetMode="External"/><Relationship Id="rId357" Type="http://schemas.openxmlformats.org/officeDocument/2006/relationships/hyperlink" Target="https://drive.google.com/file/d/1fCtHKB72-eOGj47ajA0fBt2SAOBs--_Z/view?usp=drive_link" TargetMode="External"/><Relationship Id="rId478" Type="http://schemas.openxmlformats.org/officeDocument/2006/relationships/hyperlink" Target="https://drive.google.com/drive/folders/1V6cdMMkRq-1rWwH1Rsgxxjv0KsV3W0eo?usp=drive_link" TargetMode="External"/><Relationship Id="rId119" Type="http://schemas.openxmlformats.org/officeDocument/2006/relationships/hyperlink" Target="https://drive.google.com/file/d/18Cneg6l9dryU3b86PVl4_isiQo4i_Fhc/view?usp=drive_link" TargetMode="External"/><Relationship Id="rId110" Type="http://schemas.openxmlformats.org/officeDocument/2006/relationships/hyperlink" Target="https://drive.google.com/open?id=1qxBdhKLy2dXoMZ1uZwYR7kSDIp9fRW3g" TargetMode="External"/><Relationship Id="rId231" Type="http://schemas.openxmlformats.org/officeDocument/2006/relationships/hyperlink" Target="http://../../../:b:/s/Zoron/IQCHOJpp93m3ToeXidHn4d7jAQagas8Z_UKBN3efY1cGwe4?e=RteoIi" TargetMode="External"/><Relationship Id="rId352" Type="http://schemas.openxmlformats.org/officeDocument/2006/relationships/hyperlink" Target="https://drive.google.com/drive/folders/1FFChEzMA1ub726QQDcfMkuyHoNdJoIYt?usp=drive_link" TargetMode="External"/><Relationship Id="rId473" Type="http://schemas.openxmlformats.org/officeDocument/2006/relationships/hyperlink" Target="https://drive.google.com/file/d/1O2xSxXQDyo-97HLyWa_FgGWn3dcjHvC6/view?usp=drive_link" TargetMode="External"/><Relationship Id="rId230" Type="http://schemas.openxmlformats.org/officeDocument/2006/relationships/hyperlink" Target="http://../../../:b:/s/Zoron/IQDsGO5Nw5o_QKA8jVcOw3OkAU4WPheb9GK_Q7yb8lLBi9w?e=4LVWM6" TargetMode="External"/><Relationship Id="rId351" Type="http://schemas.openxmlformats.org/officeDocument/2006/relationships/hyperlink" Target="https://drive.google.com/file/d/1hnQVIxSbp9T1v35kSGun3FkEs_w7udzk/view?usp=drive_link" TargetMode="External"/><Relationship Id="rId472" Type="http://schemas.openxmlformats.org/officeDocument/2006/relationships/hyperlink" Target="https://drive.google.com/drive/folders/1V6cdMMkRq-1rWwH1Rsgxxjv0KsV3W0eo?usp=drive_link" TargetMode="External"/><Relationship Id="rId350" Type="http://schemas.openxmlformats.org/officeDocument/2006/relationships/hyperlink" Target="https://drive.google.com/drive/folders/16BqTq_LgKbPrCxzwMpfTN2NHoLA6Bpl4?usp=drive_link" TargetMode="External"/><Relationship Id="rId471" Type="http://schemas.openxmlformats.org/officeDocument/2006/relationships/hyperlink" Target="https://drive.google.com/file/d/1oHIx14T1GGCDa5-ks5NaAbokAlDOvPcF/view?usp=drive_link" TargetMode="External"/><Relationship Id="rId470" Type="http://schemas.openxmlformats.org/officeDocument/2006/relationships/hyperlink" Target="https://drive.google.com/file/d/1IcP0QrS6N2z32GQ5iCgMSXxKqO3G16xN/view?usp=drive_link" TargetMode="External"/><Relationship Id="rId114" Type="http://schemas.openxmlformats.org/officeDocument/2006/relationships/hyperlink" Target="https://drive.google.com/open?id=1eCQKQsUKac6AEN5lInQhajpWw6mB4KGt" TargetMode="External"/><Relationship Id="rId235" Type="http://schemas.openxmlformats.org/officeDocument/2006/relationships/hyperlink" Target="https://zoronccl.sharepoint.com/:b:/s/Zoron/IQBe0eaFJUhbQL5dMaXlmfg2AZBFqC7Bdex0FErnlM7u-E4?e=hhIu4E" TargetMode="External"/><Relationship Id="rId356" Type="http://schemas.openxmlformats.org/officeDocument/2006/relationships/hyperlink" Target="https://drive.google.com/drive/folders/16BqTq_LgKbPrCxzwMpfTN2NHoLA6Bpl4?usp=drive_link" TargetMode="External"/><Relationship Id="rId477" Type="http://schemas.openxmlformats.org/officeDocument/2006/relationships/hyperlink" Target="https://drive.google.com/file/d/10CIRbe6Er6_s1BCd8ilXhQCzDlFGUpzo/view?usp=drive_link" TargetMode="External"/><Relationship Id="rId113" Type="http://schemas.openxmlformats.org/officeDocument/2006/relationships/hyperlink" Target="https://drive.google.com/open?id=1qxBdhKLy2dXoMZ1uZwYR7kSDIp9fRW3g" TargetMode="External"/><Relationship Id="rId234" Type="http://schemas.openxmlformats.org/officeDocument/2006/relationships/hyperlink" Target="http://../../../:b:/s/Zoron/IQBpwzhxQadKSYU5KQ6rdXP3AU0L_bmhv0ntoKRAzcYg_fg?e=63IZIv" TargetMode="External"/><Relationship Id="rId355" Type="http://schemas.openxmlformats.org/officeDocument/2006/relationships/hyperlink" Target="https://drive.google.com/file/d/1uIVDMzc5dSHuFUVAadeKuF77C4AZmtmX/view?usp=drive_link" TargetMode="External"/><Relationship Id="rId476" Type="http://schemas.openxmlformats.org/officeDocument/2006/relationships/hyperlink" Target="https://drive.google.com/drive/folders/1V6cdMMkRq-1rWwH1Rsgxxjv0KsV3W0eo?usp=drive_link" TargetMode="External"/><Relationship Id="rId112" Type="http://schemas.openxmlformats.org/officeDocument/2006/relationships/hyperlink" Target="https://drive.google.com/open?id=1qxBdhKLy2dXoMZ1uZwYR7kSDIp9fRW3g" TargetMode="External"/><Relationship Id="rId233" Type="http://schemas.openxmlformats.org/officeDocument/2006/relationships/hyperlink" Target="http://../../../:b:/s/Zoron/IQC_fp4fJBbSSqibv69RptgbAWJAN2OKwVISfF_XzW2Ms90?e=IjO4cD" TargetMode="External"/><Relationship Id="rId354" Type="http://schemas.openxmlformats.org/officeDocument/2006/relationships/hyperlink" Target="https://drive.google.com/file/d/1RhpShnXR2xqfyWxQQUjWR40LsLDeD9qG/view?usp=drive_link" TargetMode="External"/><Relationship Id="rId475" Type="http://schemas.openxmlformats.org/officeDocument/2006/relationships/hyperlink" Target="https://drive.google.com/file/d/1l3Z3mna2lDbMMf0f1JCZITOsT2X4qubc/view?usp=drive_link" TargetMode="External"/><Relationship Id="rId111" Type="http://schemas.openxmlformats.org/officeDocument/2006/relationships/hyperlink" Target="https://drive.google.com/open?id=1qxBdhKLy2dXoMZ1uZwYR7kSDIp9fRW3g" TargetMode="External"/><Relationship Id="rId232" Type="http://schemas.openxmlformats.org/officeDocument/2006/relationships/hyperlink" Target="http://../../../:b:/s/Zoron/IQAVjCQUrNXlR5nTTxr0GSnRAWz1ceZS4BGkpzgMQEALZ8s?e=DgkSTq" TargetMode="External"/><Relationship Id="rId353" Type="http://schemas.openxmlformats.org/officeDocument/2006/relationships/hyperlink" Target="https://drive.google.com/file/d/1tkCkNOE0729eWyF9pcVoYze_ErHiBe-c/view?usp=drive_link" TargetMode="External"/><Relationship Id="rId474" Type="http://schemas.openxmlformats.org/officeDocument/2006/relationships/hyperlink" Target="https://drive.google.com/file/d/1sAlNMBby8nB0zt4f1Cn5JXmOisF3R9Td/view?usp=drive_link" TargetMode="External"/><Relationship Id="rId305" Type="http://schemas.openxmlformats.org/officeDocument/2006/relationships/hyperlink" Target="https://drive.google.com/file/d/1MFlm-QZ8fBqbtoAUrXPx3WzM0YlB1ZI7/view?usp=drive_link" TargetMode="External"/><Relationship Id="rId426" Type="http://schemas.openxmlformats.org/officeDocument/2006/relationships/hyperlink" Target="https://drive.google.com/file/d/1Halfduv9NgFpjYm8UcMAokw7PnO12FiL/view?usp=drive_link" TargetMode="External"/><Relationship Id="rId547" Type="http://schemas.openxmlformats.org/officeDocument/2006/relationships/hyperlink" Target="https://drive.google.com/file/d/1CGIkDX-o4mNTFazK6dk93uXjZ64kFu_a/view?usp=drive_link" TargetMode="External"/><Relationship Id="rId304" Type="http://schemas.openxmlformats.org/officeDocument/2006/relationships/hyperlink" Target="https://drive.google.com/file/d/193gTm5jzi8brYyvAU7pqaGHPTraPsqrH/view?usp=drive_link" TargetMode="External"/><Relationship Id="rId425" Type="http://schemas.openxmlformats.org/officeDocument/2006/relationships/hyperlink" Target="https://drive.google.com/file/d/17UsSr7vw4nOeQuFktpe7wXjSDhNtQvmd/view?usp=drive_link" TargetMode="External"/><Relationship Id="rId546" Type="http://schemas.openxmlformats.org/officeDocument/2006/relationships/hyperlink" Target="https://drive.google.com/drive/folders/1V6cdMMkRq-1rWwH1Rsgxxjv0KsV3W0eo?usp=drive_link" TargetMode="External"/><Relationship Id="rId303" Type="http://schemas.openxmlformats.org/officeDocument/2006/relationships/hyperlink" Target="https://drive.google.com/file/d/1RKAZJBjG76VREsf0Fw2IDh2Uhk653EXt/view?usp=drive_link" TargetMode="External"/><Relationship Id="rId424" Type="http://schemas.openxmlformats.org/officeDocument/2006/relationships/hyperlink" Target="https://drive.google.com/file/d/17UsSr7vw4nOeQuFktpe7wXjSDhNtQvmd/view?usp=drive_link" TargetMode="External"/><Relationship Id="rId545" Type="http://schemas.openxmlformats.org/officeDocument/2006/relationships/hyperlink" Target="https://drive.google.com/file/d/1UKjPBkp0Ep_AhuUjvZQozcixhBIc_XKB/view?usp=drive_link" TargetMode="External"/><Relationship Id="rId302" Type="http://schemas.openxmlformats.org/officeDocument/2006/relationships/hyperlink" Target="https://drive.google.com/file/d/13nEeivXpNenAr78TNRqop4qed1kRxRf0/view?usp=drive_link" TargetMode="External"/><Relationship Id="rId423" Type="http://schemas.openxmlformats.org/officeDocument/2006/relationships/hyperlink" Target="https://drive.google.com/file/d/12zNwhArGI5ffkY0VcwJI_ZHUykbEXGg4/view?usp=sharing" TargetMode="External"/><Relationship Id="rId544" Type="http://schemas.openxmlformats.org/officeDocument/2006/relationships/hyperlink" Target="https://drive.google.com/drive/folders/1V6cdMMkRq-1rWwH1Rsgxxjv0KsV3W0eo?usp=drive_link" TargetMode="External"/><Relationship Id="rId309" Type="http://schemas.openxmlformats.org/officeDocument/2006/relationships/hyperlink" Target="https://drive.google.com/file/d/1Kh5QO19OhYqDpLCJNfMLEPwFmYWnXg8j/view?usp=drive_link" TargetMode="External"/><Relationship Id="rId308" Type="http://schemas.openxmlformats.org/officeDocument/2006/relationships/hyperlink" Target="https://drive.google.com/file/d/1o3Ahisa3o0Fbe_Reo_vRfNZXzcEhDwVT/view?usp=drive_link" TargetMode="External"/><Relationship Id="rId429" Type="http://schemas.openxmlformats.org/officeDocument/2006/relationships/hyperlink" Target="https://drive.google.com/drive/folders/14R1NeCH2HtlXR4NvveKYuneH7WQKrzn0?usp=drive_link" TargetMode="External"/><Relationship Id="rId307" Type="http://schemas.openxmlformats.org/officeDocument/2006/relationships/hyperlink" Target="https://drive.google.com/file/d/1wQg4L5TFrrdIl7NtlAqM28gj9Mx1X761/view?usp=drive_link" TargetMode="External"/><Relationship Id="rId428" Type="http://schemas.openxmlformats.org/officeDocument/2006/relationships/hyperlink" Target="https://drive.google.com/file/d/17UsSr7vw4nOeQuFktpe7wXjSDhNtQvmd/view?usp=drive_link" TargetMode="External"/><Relationship Id="rId549" Type="http://schemas.openxmlformats.org/officeDocument/2006/relationships/hyperlink" Target="https://drive.google.com/file/d/1bt8kz7lhQr2JzNgZ7KuaTe7hEExf-GlE/view?usp=sharing" TargetMode="External"/><Relationship Id="rId306" Type="http://schemas.openxmlformats.org/officeDocument/2006/relationships/hyperlink" Target="https://drive.google.com/drive/folders/1eR2JJ6QCx7pHh-D11koOUQucBKQGOmDm?usp=drive_link" TargetMode="External"/><Relationship Id="rId427" Type="http://schemas.openxmlformats.org/officeDocument/2006/relationships/hyperlink" Target="https://drive.google.com/drive/folders/14R1NeCH2HtlXR4NvveKYuneH7WQKrzn0?usp=drive_link" TargetMode="External"/><Relationship Id="rId548" Type="http://schemas.openxmlformats.org/officeDocument/2006/relationships/hyperlink" Target="https://drive.google.com/file/d/17xIlHkkDGVKK3lSN7TtQn1TEfp5fYJ1Z/view?usp=sharing" TargetMode="External"/><Relationship Id="rId301" Type="http://schemas.openxmlformats.org/officeDocument/2006/relationships/hyperlink" Target="https://drive.google.com/drive/folders/16BqTq_LgKbPrCxzwMpfTN2NHoLA6Bpl4?usp=drive_link" TargetMode="External"/><Relationship Id="rId422" Type="http://schemas.openxmlformats.org/officeDocument/2006/relationships/hyperlink" Target="https://drive.google.com/file/d/1My5O4au19TgpIP-nVeSyEOlOv2cmPPMv/view?usp=drive_link" TargetMode="External"/><Relationship Id="rId543" Type="http://schemas.openxmlformats.org/officeDocument/2006/relationships/hyperlink" Target="https://drive.google.com/file/d/1CcR8_deN82t9iSjgWT3n5cG3uRF5dwTW/view?usp=drive_link" TargetMode="External"/><Relationship Id="rId300" Type="http://schemas.openxmlformats.org/officeDocument/2006/relationships/hyperlink" Target="https://drive.google.com/file/d/1CxRIFQU25G8BH6KhAPUuaJqQ-8oNzPzy/view?usp=drive_link" TargetMode="External"/><Relationship Id="rId421" Type="http://schemas.openxmlformats.org/officeDocument/2006/relationships/hyperlink" Target="https://drive.google.com/drive/folders/1FFChEzMA1ub726QQDcfMkuyHoNdJoIYt?usp=drive_link" TargetMode="External"/><Relationship Id="rId542" Type="http://schemas.openxmlformats.org/officeDocument/2006/relationships/hyperlink" Target="https://drive.google.com/drive/folders/1V6cdMMkRq-1rWwH1Rsgxxjv0KsV3W0eo?usp=drive_link" TargetMode="External"/><Relationship Id="rId420" Type="http://schemas.openxmlformats.org/officeDocument/2006/relationships/hyperlink" Target="https://drive.google.com/file/d/1mIJXY6izrqg9rjoycms-DUWBCfvoAXbM/view?usp=sharing" TargetMode="External"/><Relationship Id="rId541" Type="http://schemas.openxmlformats.org/officeDocument/2006/relationships/hyperlink" Target="https://drive.google.com/file/d/1YqHsU0GlJ4Hz1S1H1-srpCVyVXexbIoT/view?usp=drive_link" TargetMode="External"/><Relationship Id="rId540" Type="http://schemas.openxmlformats.org/officeDocument/2006/relationships/hyperlink" Target="https://drive.google.com/drive/folders/1V6cdMMkRq-1rWwH1Rsgxxjv0KsV3W0eo?usp=drive_link" TargetMode="External"/><Relationship Id="rId415" Type="http://schemas.openxmlformats.org/officeDocument/2006/relationships/hyperlink" Target="https://drive.google.com/file/d/105KaxcJOhCADSv8Hpn1YlOjVIr2WqKtj/view?usp=drive_link" TargetMode="External"/><Relationship Id="rId536" Type="http://schemas.openxmlformats.org/officeDocument/2006/relationships/hyperlink" Target="https://drive.google.com/drive/folders/1V6cdMMkRq-1rWwH1Rsgxxjv0KsV3W0eo?usp=drive_link" TargetMode="External"/><Relationship Id="rId414" Type="http://schemas.openxmlformats.org/officeDocument/2006/relationships/hyperlink" Target="https://drive.google.com/file/d/1KIpNN3JM9CpKHhR3sv-a8o76TLTvJOVB/view?usp=sharing" TargetMode="External"/><Relationship Id="rId535" Type="http://schemas.openxmlformats.org/officeDocument/2006/relationships/hyperlink" Target="https://drive.google.com/file/d/13qDXX-CPArydErVn1Wul0vUs1zJiH4TZ/view?usp=drive_link" TargetMode="External"/><Relationship Id="rId413" Type="http://schemas.openxmlformats.org/officeDocument/2006/relationships/hyperlink" Target="https://drive.google.com/file/d/105KaxcJOhCADSv8Hpn1YlOjVIr2WqKtj/view?usp=drive_link" TargetMode="External"/><Relationship Id="rId534" Type="http://schemas.openxmlformats.org/officeDocument/2006/relationships/hyperlink" Target="https://drive.google.com/drive/folders/1V6cdMMkRq-1rWwH1Rsgxxjv0KsV3W0eo?usp=drive_link" TargetMode="External"/><Relationship Id="rId412" Type="http://schemas.openxmlformats.org/officeDocument/2006/relationships/hyperlink" Target="https://drive.google.com/file/d/105KaxcJOhCADSv8Hpn1YlOjVIr2WqKtj/view?usp=drive_link" TargetMode="External"/><Relationship Id="rId533" Type="http://schemas.openxmlformats.org/officeDocument/2006/relationships/hyperlink" Target="https://drive.google.com/file/d/13Gk6OyIFh6Msn13orBlZFNYeo32Np4i_/view?usp=drive_link" TargetMode="External"/><Relationship Id="rId419" Type="http://schemas.openxmlformats.org/officeDocument/2006/relationships/hyperlink" Target="https://drive.google.com/file/d/1NHvOfkrxr00pBeXJxm62laWKHWS1iSxH/view?usp=sharing" TargetMode="External"/><Relationship Id="rId418" Type="http://schemas.openxmlformats.org/officeDocument/2006/relationships/hyperlink" Target="https://drive.google.com/file/d/1EIebmZMrO21V_wcjzS4O9zn0Gbk7Wdnm/view?usp=sharing" TargetMode="External"/><Relationship Id="rId539" Type="http://schemas.openxmlformats.org/officeDocument/2006/relationships/hyperlink" Target="https://drive.google.com/file/d/1hpXTeeL3tUP37QWz62IJEkr06aALREJ_/view?usp=drive_link" TargetMode="External"/><Relationship Id="rId417" Type="http://schemas.openxmlformats.org/officeDocument/2006/relationships/hyperlink" Target="https://drive.google.com/file/d/105KaxcJOhCADSv8Hpn1YlOjVIr2WqKtj/view?usp=drive_link" TargetMode="External"/><Relationship Id="rId538" Type="http://schemas.openxmlformats.org/officeDocument/2006/relationships/hyperlink" Target="https://drive.google.com/drive/folders/1V6cdMMkRq-1rWwH1Rsgxxjv0KsV3W0eo?usp=drive_link" TargetMode="External"/><Relationship Id="rId416" Type="http://schemas.openxmlformats.org/officeDocument/2006/relationships/hyperlink" Target="https://drive.google.com/file/d/105KaxcJOhCADSv8Hpn1YlOjVIr2WqKtj/view?usp=drive_link" TargetMode="External"/><Relationship Id="rId537" Type="http://schemas.openxmlformats.org/officeDocument/2006/relationships/hyperlink" Target="https://drive.google.com/file/d/1GkvsKawKnVtMhU7vQJeZLgsSVYTMbT0u/view?usp=drive_link" TargetMode="External"/><Relationship Id="rId411" Type="http://schemas.openxmlformats.org/officeDocument/2006/relationships/hyperlink" Target="https://drive.google.com/file/d/1euU33MCMFGI5gF_nDXr1qez6VoKuMV-b/view?usp=sharing" TargetMode="External"/><Relationship Id="rId532" Type="http://schemas.openxmlformats.org/officeDocument/2006/relationships/hyperlink" Target="https://drive.google.com/drive/folders/1V6cdMMkRq-1rWwH1Rsgxxjv0KsV3W0eo?usp=drive_link" TargetMode="External"/><Relationship Id="rId410" Type="http://schemas.openxmlformats.org/officeDocument/2006/relationships/hyperlink" Target="https://drive.google.com/file/d/105KaxcJOhCADSv8Hpn1YlOjVIr2WqKtj/view?usp=drive_link" TargetMode="External"/><Relationship Id="rId531" Type="http://schemas.openxmlformats.org/officeDocument/2006/relationships/hyperlink" Target="https://drive.google.com/file/d/1fNZsKpJNy7C3H9w4ag-EN4pLk0sPnXyz/view?usp=drive_link" TargetMode="External"/><Relationship Id="rId530" Type="http://schemas.openxmlformats.org/officeDocument/2006/relationships/hyperlink" Target="https://drive.google.com/drive/folders/1V6cdMMkRq-1rWwH1Rsgxxjv0KsV3W0eo?usp=drive_link" TargetMode="External"/><Relationship Id="rId206" Type="http://schemas.openxmlformats.org/officeDocument/2006/relationships/hyperlink" Target="https://drive.google.com/open?id=1zK85sVIFSTNTfEC8J0lVnan4W6SL3Uv4" TargetMode="External"/><Relationship Id="rId327" Type="http://schemas.openxmlformats.org/officeDocument/2006/relationships/hyperlink" Target="https://drive.google.com/file/d/1oyB72O7V70FX3zaDNNQH3Hl102d-RHUa/view?usp=drive_link" TargetMode="External"/><Relationship Id="rId448" Type="http://schemas.openxmlformats.org/officeDocument/2006/relationships/hyperlink" Target="https://drive.google.com/file/d/132x_Y3LnqjHP8AmG2AF8tA2JA7YjmCoU/view?usp=drive_link" TargetMode="External"/><Relationship Id="rId205" Type="http://schemas.openxmlformats.org/officeDocument/2006/relationships/hyperlink" Target="https://docs.google.com/spreadsheets/u/2/d/1ij4onlBGcx01j1Ysd_7kK59W2brxpI8N/edit" TargetMode="External"/><Relationship Id="rId326" Type="http://schemas.openxmlformats.org/officeDocument/2006/relationships/hyperlink" Target="https://drive.google.com/file/d/1vYTvWuZgB_tRi3C73szSxC96aTyY9SzQ/view?usp=drive_link" TargetMode="External"/><Relationship Id="rId447" Type="http://schemas.openxmlformats.org/officeDocument/2006/relationships/hyperlink" Target="https://drive.google.com/file/d/17UsSr7vw4nOeQuFktpe7wXjSDhNtQvmd/view?usp=drive_link" TargetMode="External"/><Relationship Id="rId204" Type="http://schemas.openxmlformats.org/officeDocument/2006/relationships/hyperlink" Target="https://drive.google.com/open?id=1933fmFvCnSPBkWRNk08ZOAIvJm8Z-09s" TargetMode="External"/><Relationship Id="rId325" Type="http://schemas.openxmlformats.org/officeDocument/2006/relationships/hyperlink" Target="https://drive.google.com/file/d/1Igj5oVSAr48q1kaP9Bj86jdD47BxDjdb/view?usp=drive_link" TargetMode="External"/><Relationship Id="rId446" Type="http://schemas.openxmlformats.org/officeDocument/2006/relationships/hyperlink" Target="https://drive.google.com/file/d/10j7CxS-__K-bcOQTmByyRgNObKR3_hu8/view?usp=drive_link" TargetMode="External"/><Relationship Id="rId203" Type="http://schemas.openxmlformats.org/officeDocument/2006/relationships/hyperlink" Target="https://drive.google.com/open?id=1933fmFvCnSPBkWRNk08ZOAIvJm8Z-09s" TargetMode="External"/><Relationship Id="rId324" Type="http://schemas.openxmlformats.org/officeDocument/2006/relationships/hyperlink" Target="https://drive.google.com/drive/folders/16BqTq_LgKbPrCxzwMpfTN2NHoLA6Bpl4?usp=drive_link" TargetMode="External"/><Relationship Id="rId445" Type="http://schemas.openxmlformats.org/officeDocument/2006/relationships/hyperlink" Target="https://drive.google.com/file/d/1hJSEmkB-r8A2tFKmKY8XOg7qi61DjeZj/view?usp=drive_link" TargetMode="External"/><Relationship Id="rId209" Type="http://schemas.openxmlformats.org/officeDocument/2006/relationships/hyperlink" Target="https://drive.google.com/open?id=1933fmFvCnSPBkWRNk08ZOAIvJm8Z-09s" TargetMode="External"/><Relationship Id="rId208" Type="http://schemas.openxmlformats.org/officeDocument/2006/relationships/hyperlink" Target="http://../../../:i:/s/Zoron/IQDvBo-7lcL7ToUljjW8xalQAYytqLcpkel9G_6Q-QGmwXk?e=3g0S0V" TargetMode="External"/><Relationship Id="rId329" Type="http://schemas.openxmlformats.org/officeDocument/2006/relationships/hyperlink" Target="https://drive.google.com/file/d/1_ei8SumYJO7HH1aN3Dqh6StivwqbMQux/view?usp=drive_link" TargetMode="External"/><Relationship Id="rId207" Type="http://schemas.openxmlformats.org/officeDocument/2006/relationships/hyperlink" Target="http://../../../:i:/s/Zoron/IQC3YJqlpIDoQI--H6fgoWOvAcXnL4GxDyRwOZXQITKOPc0?e=BOAwxZ" TargetMode="External"/><Relationship Id="rId328" Type="http://schemas.openxmlformats.org/officeDocument/2006/relationships/hyperlink" Target="https://drive.google.com/drive/folders/16BqTq_LgKbPrCxzwMpfTN2NHoLA6Bpl4?usp=drive_link" TargetMode="External"/><Relationship Id="rId449" Type="http://schemas.openxmlformats.org/officeDocument/2006/relationships/hyperlink" Target="https://drive.google.com/file/d/1IEV3IwgWgkgLRUqzvQA-qjx0eKvJMoj3/view?usp=drive_link" TargetMode="External"/><Relationship Id="rId440" Type="http://schemas.openxmlformats.org/officeDocument/2006/relationships/hyperlink" Target="https://drive.google.com/file/d/1neduvgC99m0spMSI29D9Qpp0ZQ0Cygx8/view?usp=drive_link" TargetMode="External"/><Relationship Id="rId560" Type="http://schemas.openxmlformats.org/officeDocument/2006/relationships/vmlDrawing" Target="../drawings/vmlDrawing1.vml"/><Relationship Id="rId202" Type="http://schemas.openxmlformats.org/officeDocument/2006/relationships/hyperlink" Target="https://drive.google.com/open?id=1933fmFvCnSPBkWRNk08ZOAIvJm8Z-09s" TargetMode="External"/><Relationship Id="rId323" Type="http://schemas.openxmlformats.org/officeDocument/2006/relationships/hyperlink" Target="https://drive.google.com/file/d/1r_eGU-jo1hIJHm9JqE01EFFS8MHcEbre/view?usp=drive_link" TargetMode="External"/><Relationship Id="rId444" Type="http://schemas.openxmlformats.org/officeDocument/2006/relationships/hyperlink" Target="https://drive.google.com/file/d/1XkLecR_UqhNN54m8FrFDZw9lNVWjh_FY/view?usp=drive_link" TargetMode="External"/><Relationship Id="rId201" Type="http://schemas.openxmlformats.org/officeDocument/2006/relationships/hyperlink" Target="http://../../../:i:/s/Zoron/IQAz1pVHgEOASJYtck-e66NNAQBZ1cJQL50RDPUvGDb-muM?e=koMhQF" TargetMode="External"/><Relationship Id="rId322" Type="http://schemas.openxmlformats.org/officeDocument/2006/relationships/hyperlink" Target="https://drive.google.com/drive/folders/16BqTq_LgKbPrCxzwMpfTN2NHoLA6Bpl4?usp=drive_link" TargetMode="External"/><Relationship Id="rId443" Type="http://schemas.openxmlformats.org/officeDocument/2006/relationships/hyperlink" Target="https://drive.google.com/file/d/1KzGa4aa2iVL_Qz_iLII5vPRO9yY7VhKh/view?usp=drive_link" TargetMode="External"/><Relationship Id="rId200" Type="http://schemas.openxmlformats.org/officeDocument/2006/relationships/hyperlink" Target="http://../../../:i:/s/Zoron/IQBlljK_OmrlS5R4MmEg-ChGAe66P0Dq8IjuWhr8El3ZIzM?e=X18jY6" TargetMode="External"/><Relationship Id="rId321" Type="http://schemas.openxmlformats.org/officeDocument/2006/relationships/hyperlink" Target="https://drive.google.com/file/d/126pd_RLElcoasa7lL1yGx9iRFAeVx3sd/view?usp=drive_link" TargetMode="External"/><Relationship Id="rId442" Type="http://schemas.openxmlformats.org/officeDocument/2006/relationships/hyperlink" Target="https://drive.google.com/file/d/1h5owTiCbDHIhyr375p-gf9qa53NL8K2t/view?usp=drive_link" TargetMode="External"/><Relationship Id="rId320" Type="http://schemas.openxmlformats.org/officeDocument/2006/relationships/hyperlink" Target="https://drive.google.com/drive/folders/16BqTq_LgKbPrCxzwMpfTN2NHoLA6Bpl4?usp=drive_link" TargetMode="External"/><Relationship Id="rId441" Type="http://schemas.openxmlformats.org/officeDocument/2006/relationships/hyperlink" Target="https://drive.google.com/file/d/1vshaZxJFPPXaBToR6wgqmEQc-rGmDTN5/view?usp=drive_link" TargetMode="External"/><Relationship Id="rId562" Type="http://schemas.openxmlformats.org/officeDocument/2006/relationships/table" Target="../tables/table1.xml"/><Relationship Id="rId316" Type="http://schemas.openxmlformats.org/officeDocument/2006/relationships/hyperlink" Target="https://zoronccl.sharepoint.com/:b:/s/Zoron/IQCiwDjsng3dTLga0NMcfTttARVYr5XqWu-byk42HyWTZlQ?e=0byrGO" TargetMode="External"/><Relationship Id="rId437" Type="http://schemas.openxmlformats.org/officeDocument/2006/relationships/hyperlink" Target="https://drive.google.com/file/d/17UsSr7vw4nOeQuFktpe7wXjSDhNtQvmd/view?usp=drive_link" TargetMode="External"/><Relationship Id="rId558" Type="http://schemas.openxmlformats.org/officeDocument/2006/relationships/hyperlink" Target="https://drive.google.com/file/d/1YQB8c05sJ1tbWqO2eVqUB59_F4RvSGmz/view?usp=drive_link" TargetMode="External"/><Relationship Id="rId315" Type="http://schemas.openxmlformats.org/officeDocument/2006/relationships/hyperlink" Target="https://drive.google.com/file/d/1gFeoAXY8SJE4Fbu5wRueIznMyHTwBJJd/view?usp=drive_link" TargetMode="External"/><Relationship Id="rId436" Type="http://schemas.openxmlformats.org/officeDocument/2006/relationships/hyperlink" Target="https://drive.google.com/file/d/17UsSr7vw4nOeQuFktpe7wXjSDhNtQvmd/view?usp=drive_link" TargetMode="External"/><Relationship Id="rId557" Type="http://schemas.openxmlformats.org/officeDocument/2006/relationships/hyperlink" Target="https://drive.google.com/file/d/1X77UesGcs3zvo83Fzr3QulWMx2BGUjzI/view?usp=drive_link" TargetMode="External"/><Relationship Id="rId314" Type="http://schemas.openxmlformats.org/officeDocument/2006/relationships/hyperlink" Target="https://drive.google.com/file/d/118j49cyqyLFZG_ccHH3BZC399JPBRTeT/view?usp=drive_link" TargetMode="External"/><Relationship Id="rId435" Type="http://schemas.openxmlformats.org/officeDocument/2006/relationships/hyperlink" Target="https://drive.google.com/file/d/17UsSr7vw4nOeQuFktpe7wXjSDhNtQvmd/view?usp=drive_link" TargetMode="External"/><Relationship Id="rId556" Type="http://schemas.openxmlformats.org/officeDocument/2006/relationships/hyperlink" Target="https://drive.google.com/file/d/19iFHt8YYAIAY0SZo_a6eJpiOuVfsj6iw/view?usp=drive_link" TargetMode="External"/><Relationship Id="rId313" Type="http://schemas.openxmlformats.org/officeDocument/2006/relationships/hyperlink" Target="https://drive.google.com/file/d/1ohp09w3ohUsRB38hCqD_Br7QT14S5HgU/view?usp=drive_link" TargetMode="External"/><Relationship Id="rId434" Type="http://schemas.openxmlformats.org/officeDocument/2006/relationships/hyperlink" Target="https://drive.google.com/file/d/17UsSr7vw4nOeQuFktpe7wXjSDhNtQvmd/view?usp=drive_link" TargetMode="External"/><Relationship Id="rId555" Type="http://schemas.openxmlformats.org/officeDocument/2006/relationships/hyperlink" Target="https://drive.google.com/file/d/1q3lTku6QsUw8ZQfp905X3QI44RaMmZFo/view?usp=drive_link" TargetMode="External"/><Relationship Id="rId319" Type="http://schemas.openxmlformats.org/officeDocument/2006/relationships/hyperlink" Target="https://drive.google.com/file/d/19YcF_nEXiwYsZb39fMla5mbpUQT8f9Nl/view?usp=drive_link" TargetMode="External"/><Relationship Id="rId318" Type="http://schemas.openxmlformats.org/officeDocument/2006/relationships/hyperlink" Target="https://drive.google.com/drive/folders/16BqTq_LgKbPrCxzwMpfTN2NHoLA6Bpl4?usp=drive_link" TargetMode="External"/><Relationship Id="rId439" Type="http://schemas.openxmlformats.org/officeDocument/2006/relationships/hyperlink" Target="https://drive.google.com/file/d/17UsSr7vw4nOeQuFktpe7wXjSDhNtQvmd/view?usp=drive_link" TargetMode="External"/><Relationship Id="rId317" Type="http://schemas.openxmlformats.org/officeDocument/2006/relationships/hyperlink" Target="https://zoronccl.sharepoint.com/:b:/s/Zoron/IQCyVYYCFiUBTJ45RjcYG55dAf1CeIA5jYzBVomZwXAa1W4?e=MvbDwY" TargetMode="External"/><Relationship Id="rId438" Type="http://schemas.openxmlformats.org/officeDocument/2006/relationships/hyperlink" Target="https://drive.google.com/file/d/1TPGfeqin3rbX-z-w0GWOAyRSJ1q0gkRm/view?usp=drive_link" TargetMode="External"/><Relationship Id="rId559" Type="http://schemas.openxmlformats.org/officeDocument/2006/relationships/drawing" Target="../drawings/drawing1.xml"/><Relationship Id="rId550" Type="http://schemas.openxmlformats.org/officeDocument/2006/relationships/hyperlink" Target="https://drive.google.com/drive/folders/1V6cdMMkRq-1rWwH1Rsgxxjv0KsV3W0eo?usp=drive_link" TargetMode="External"/><Relationship Id="rId312" Type="http://schemas.openxmlformats.org/officeDocument/2006/relationships/hyperlink" Target="https://drive.google.com/drive/folders/1FFChEzMA1ub726QQDcfMkuyHoNdJoIYt?usp=drive_link" TargetMode="External"/><Relationship Id="rId433" Type="http://schemas.openxmlformats.org/officeDocument/2006/relationships/hyperlink" Target="https://drive.google.com/drive/folders/14R1NeCH2HtlXR4NvveKYuneH7WQKrzn0?usp=drive_link" TargetMode="External"/><Relationship Id="rId554" Type="http://schemas.openxmlformats.org/officeDocument/2006/relationships/hyperlink" Target="https://drive.google.com/file/d/1nbSYdnr0Zn05jnEbaWGQNxP8ar6LGwl2/view?usp=drive_link" TargetMode="External"/><Relationship Id="rId311" Type="http://schemas.openxmlformats.org/officeDocument/2006/relationships/hyperlink" Target="https://drive.google.com/file/d/1TE0Qr1ag7TFkVmiHr7AEnYAZundgvI9h/view?usp=drive_link" TargetMode="External"/><Relationship Id="rId432" Type="http://schemas.openxmlformats.org/officeDocument/2006/relationships/hyperlink" Target="https://drive.google.com/file/d/17UsSr7vw4nOeQuFktpe7wXjSDhNtQvmd/view?usp=drive_link" TargetMode="External"/><Relationship Id="rId553" Type="http://schemas.openxmlformats.org/officeDocument/2006/relationships/hyperlink" Target="https://drive.google.com/file/d/1Xt3E_y5hxqUZA9Nt_aj_yGYUZCZD-ZyC/view?usp=drive_link" TargetMode="External"/><Relationship Id="rId310" Type="http://schemas.openxmlformats.org/officeDocument/2006/relationships/hyperlink" Target="https://drive.google.com/drive/folders/16BqTq_LgKbPrCxzwMpfTN2NHoLA6Bpl4?usp=drive_link" TargetMode="External"/><Relationship Id="rId431" Type="http://schemas.openxmlformats.org/officeDocument/2006/relationships/hyperlink" Target="https://drive.google.com/drive/folders/14R1NeCH2HtlXR4NvveKYuneH7WQKrzn0?usp=drive_link" TargetMode="External"/><Relationship Id="rId552" Type="http://schemas.openxmlformats.org/officeDocument/2006/relationships/hyperlink" Target="https://drive.google.com/file/d/1ljTsnXNAxeRaUP0QB2u5jkQODKeQXgm7/view?usp=drive_link" TargetMode="External"/><Relationship Id="rId430" Type="http://schemas.openxmlformats.org/officeDocument/2006/relationships/hyperlink" Target="https://drive.google.com/file/d/17UsSr7vw4nOeQuFktpe7wXjSDhNtQvmd/view?usp=drive_link" TargetMode="External"/><Relationship Id="rId551" Type="http://schemas.openxmlformats.org/officeDocument/2006/relationships/hyperlink" Target="https://drive.google.com/file/d/11j0xGnuJJkyKFYY3Z-unGr7wUkpC3qxX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s://drive.google.com/drive/folders/1V6cdMMkRq-1rWwH1Rsgxxjv0KsV3W0eo?usp=drive_link" TargetMode="External"/><Relationship Id="rId3" Type="http://schemas.openxmlformats.org/officeDocument/2006/relationships/hyperlink" Target="https://drive.google.com/drive/folders/1FFChEzMA1ub726QQDcfMkuyHoNdJoIYt?usp=drive_link" TargetMode="External"/><Relationship Id="rId4" Type="http://schemas.openxmlformats.org/officeDocument/2006/relationships/hyperlink" Target="https://drive.google.com/drive/folders/14R1NeCH2HtlXR4NvveKYuneH7WQKrzn0?usp=drive_link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drive.google.com/drive/folders/18ojxrnTVcVVZo3C1n-CV_svEae7-a_kV?usp=drive_link" TargetMode="External"/><Relationship Id="rId6" Type="http://schemas.openxmlformats.org/officeDocument/2006/relationships/hyperlink" Target="https://drive.google.com/drive/folders/1eR2JJ6QCx7pHh-D11koOUQucBKQGOmDm?usp=drive_link" TargetMode="External"/><Relationship Id="rId7" Type="http://schemas.openxmlformats.org/officeDocument/2006/relationships/hyperlink" Target="https://drive.google.com/drive/folders/16BqTq_LgKbPrCxzwMpfTN2NHoLA6Bpl4" TargetMode="External"/><Relationship Id="rId8" Type="http://schemas.openxmlformats.org/officeDocument/2006/relationships/hyperlink" Target="https://drive.google.com/drive/folders/16BqTq_LgKbPrCxzwMpfTN2NHoLA6Bpl4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hyperlink" Target="https://drive.google.com/drive/folders/1V6cdMMkRq-1rWwH1Rsgxxjv0KsV3W0eo?usp=drive_link" TargetMode="External"/><Relationship Id="rId4" Type="http://schemas.openxmlformats.org/officeDocument/2006/relationships/hyperlink" Target="https://drive.google.com/drive/folders/1FFChEzMA1ub726QQDcfMkuyHoNdJoIYt?usp=drive_link" TargetMode="External"/><Relationship Id="rId9" Type="http://schemas.openxmlformats.org/officeDocument/2006/relationships/hyperlink" Target="https://drive.google.com/drive/folders/16BqTq_LgKbPrCxzwMpfTN2NHoLA6Bpl4" TargetMode="External"/><Relationship Id="rId5" Type="http://schemas.openxmlformats.org/officeDocument/2006/relationships/hyperlink" Target="https://drive.google.com/drive/folders/14R1NeCH2HtlXR4NvveKYuneH7WQKrzn0?usp=drive_link" TargetMode="External"/><Relationship Id="rId6" Type="http://schemas.openxmlformats.org/officeDocument/2006/relationships/hyperlink" Target="https://drive.google.com/drive/folders/18ojxrnTVcVVZo3C1n-CV_svEae7-a_kV?usp=drive_link" TargetMode="External"/><Relationship Id="rId7" Type="http://schemas.openxmlformats.org/officeDocument/2006/relationships/hyperlink" Target="https://drive.google.com/drive/folders/1eR2JJ6QCx7pHh-D11koOUQucBKQGOmDm?usp=drive_link" TargetMode="External"/><Relationship Id="rId8" Type="http://schemas.openxmlformats.org/officeDocument/2006/relationships/hyperlink" Target="https://drive.google.com/drive/folders/16BqTq_LgKbPrCxzwMpfTN2NHoLA6Bpl4" TargetMode="External"/><Relationship Id="rId11" Type="http://schemas.openxmlformats.org/officeDocument/2006/relationships/hyperlink" Target="https://drive.google.com/drive/folders/1FFChEzMA1ub726QQDcfMkuyHoNdJoIYt?usp=drive_link" TargetMode="External"/><Relationship Id="rId10" Type="http://schemas.openxmlformats.org/officeDocument/2006/relationships/hyperlink" Target="https://drive.google.com/drive/folders/1V6cdMMkRq-1rWwH1Rsgxxjv0KsV3W0eo?usp=drive_link" TargetMode="External"/><Relationship Id="rId13" Type="http://schemas.openxmlformats.org/officeDocument/2006/relationships/hyperlink" Target="https://drive.google.com/drive/folders/18ojxrnTVcVVZo3C1n-CV_svEae7-a_kV?usp=drive_link" TargetMode="External"/><Relationship Id="rId12" Type="http://schemas.openxmlformats.org/officeDocument/2006/relationships/hyperlink" Target="https://drive.google.com/drive/folders/14R1NeCH2HtlXR4NvveKYuneH7WQKrzn0?usp=drive_link" TargetMode="External"/><Relationship Id="rId15" Type="http://schemas.openxmlformats.org/officeDocument/2006/relationships/hyperlink" Target="https://drive.google.com/drive/folders/16BqTq_LgKbPrCxzwMpfTN2NHoLA6Bpl4" TargetMode="External"/><Relationship Id="rId14" Type="http://schemas.openxmlformats.org/officeDocument/2006/relationships/hyperlink" Target="https://drive.google.com/drive/folders/1eR2JJ6QCx7pHh-D11koOUQucBKQGOmDm?usp=drive_link" TargetMode="External"/><Relationship Id="rId16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3.78"/>
    <col customWidth="1" min="2" max="2" width="20.11"/>
    <col customWidth="1" min="3" max="3" width="17.22"/>
    <col customWidth="1" min="4" max="4" width="37.22"/>
    <col customWidth="1" min="5" max="5" width="9.67"/>
    <col customWidth="1" min="6" max="6" width="12.44"/>
    <col customWidth="1" min="7" max="7" width="12.67"/>
    <col customWidth="1" min="8" max="8" width="12.78"/>
    <col customWidth="1" min="9" max="9" width="11.0"/>
    <col customWidth="1" min="10" max="10" width="14.78"/>
    <col customWidth="1" min="11" max="11" width="13.78"/>
    <col customWidth="1" min="12" max="13" width="11.44"/>
    <col customWidth="1" min="14" max="14" width="10.11"/>
    <col customWidth="1" min="15" max="15" width="26.11"/>
    <col customWidth="1" min="16" max="16" width="40.78"/>
    <col customWidth="1" min="17" max="17" width="14.33"/>
    <col customWidth="1" min="18" max="18" width="14.22"/>
    <col customWidth="1" min="19" max="29" width="11.22"/>
  </cols>
  <sheetData>
    <row r="1">
      <c r="A1" s="5" t="s">
        <v>2</v>
      </c>
      <c r="B1" s="5" t="s">
        <v>4</v>
      </c>
      <c r="C1" s="5" t="s">
        <v>6</v>
      </c>
      <c r="D1" s="5" t="s">
        <v>7</v>
      </c>
      <c r="E1" s="5" t="s">
        <v>9</v>
      </c>
      <c r="F1" s="5" t="s">
        <v>11</v>
      </c>
      <c r="G1" s="5" t="s">
        <v>12</v>
      </c>
      <c r="H1" s="5" t="s">
        <v>14</v>
      </c>
      <c r="I1" s="14" t="s">
        <v>15</v>
      </c>
      <c r="J1" s="5" t="s">
        <v>17</v>
      </c>
      <c r="K1" s="14" t="s">
        <v>18</v>
      </c>
      <c r="L1" s="14" t="s">
        <v>21</v>
      </c>
      <c r="M1" s="14" t="s">
        <v>23</v>
      </c>
      <c r="N1" s="14" t="s">
        <v>24</v>
      </c>
      <c r="O1" s="14" t="s">
        <v>26</v>
      </c>
      <c r="P1" s="14" t="s">
        <v>28</v>
      </c>
      <c r="Q1" s="14" t="s">
        <v>30</v>
      </c>
      <c r="R1" s="14" t="s">
        <v>32</v>
      </c>
      <c r="S1" s="14" t="s">
        <v>33</v>
      </c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ht="22.5" customHeight="1">
      <c r="A2" s="28" t="s">
        <v>40</v>
      </c>
      <c r="B2" s="31" t="s">
        <v>48</v>
      </c>
      <c r="C2" s="32">
        <v>7.0</v>
      </c>
      <c r="D2" s="32" t="s">
        <v>49</v>
      </c>
      <c r="E2" s="34">
        <v>46331.0</v>
      </c>
      <c r="F2" s="31" t="s">
        <v>51</v>
      </c>
      <c r="G2" s="32" t="s">
        <v>52</v>
      </c>
      <c r="H2" s="39">
        <v>50000.0</v>
      </c>
      <c r="I2" s="42">
        <v>0.0</v>
      </c>
      <c r="J2" s="39">
        <v>8997.0</v>
      </c>
      <c r="K2" s="48">
        <f>H2+J2</f>
        <v>58997</v>
      </c>
      <c r="L2" s="49" t="s">
        <v>53</v>
      </c>
      <c r="M2" s="51" t="s">
        <v>38</v>
      </c>
      <c r="N2" s="49" t="s">
        <v>46</v>
      </c>
      <c r="O2" s="49" t="s">
        <v>59</v>
      </c>
      <c r="P2" s="56" t="s">
        <v>60</v>
      </c>
      <c r="Q2" s="57"/>
      <c r="R2" s="57"/>
      <c r="S2" s="49" t="s">
        <v>66</v>
      </c>
      <c r="T2" s="59"/>
      <c r="U2" s="59"/>
      <c r="V2" s="59"/>
      <c r="W2" s="59"/>
      <c r="X2" s="59"/>
      <c r="Y2" s="59"/>
      <c r="Z2" s="59"/>
      <c r="AA2" s="59"/>
      <c r="AB2" s="59"/>
      <c r="AC2" s="59"/>
    </row>
    <row r="3" ht="22.5" customHeight="1">
      <c r="A3" s="28" t="s">
        <v>69</v>
      </c>
      <c r="B3" s="31" t="s">
        <v>71</v>
      </c>
      <c r="C3" s="32" t="s">
        <v>72</v>
      </c>
      <c r="D3" s="32" t="s">
        <v>73</v>
      </c>
      <c r="E3" s="34">
        <v>46302.0</v>
      </c>
      <c r="F3" s="61"/>
      <c r="G3" s="63"/>
      <c r="H3" s="39">
        <v>1504.0</v>
      </c>
      <c r="I3" s="42">
        <v>286.0</v>
      </c>
      <c r="J3" s="39">
        <v>0.0</v>
      </c>
      <c r="K3" s="48">
        <f>H3+I3</f>
        <v>1790</v>
      </c>
      <c r="L3" s="49" t="s">
        <v>77</v>
      </c>
      <c r="M3" s="51" t="s">
        <v>37</v>
      </c>
      <c r="N3" s="49" t="s">
        <v>46</v>
      </c>
      <c r="O3" s="49" t="s">
        <v>81</v>
      </c>
      <c r="P3" s="56" t="s">
        <v>91</v>
      </c>
      <c r="Q3" s="57"/>
      <c r="R3" s="57"/>
      <c r="S3" s="49" t="s">
        <v>66</v>
      </c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ht="22.5" customHeight="1">
      <c r="A4" s="28" t="s">
        <v>40</v>
      </c>
      <c r="B4" s="31" t="s">
        <v>71</v>
      </c>
      <c r="C4" s="32">
        <v>7.0</v>
      </c>
      <c r="D4" s="32" t="s">
        <v>139</v>
      </c>
      <c r="E4" s="34">
        <v>46272.0</v>
      </c>
      <c r="F4" s="61"/>
      <c r="G4" s="32"/>
      <c r="H4" s="39">
        <v>650000.0</v>
      </c>
      <c r="I4" s="42">
        <v>0.0</v>
      </c>
      <c r="J4" s="39">
        <v>116962.0</v>
      </c>
      <c r="K4" s="42">
        <f>H4+J4</f>
        <v>766962</v>
      </c>
      <c r="L4" s="49" t="s">
        <v>77</v>
      </c>
      <c r="M4" s="51" t="s">
        <v>37</v>
      </c>
      <c r="N4" s="49" t="s">
        <v>44</v>
      </c>
      <c r="O4" s="49" t="s">
        <v>146</v>
      </c>
      <c r="P4" s="56" t="s">
        <v>147</v>
      </c>
      <c r="Q4" s="57"/>
      <c r="R4" s="57"/>
      <c r="S4" s="49"/>
      <c r="T4" s="59"/>
      <c r="U4" s="59"/>
      <c r="V4" s="59"/>
      <c r="W4" s="59"/>
      <c r="X4" s="59"/>
      <c r="Y4" s="59"/>
      <c r="Z4" s="59"/>
      <c r="AA4" s="59"/>
      <c r="AB4" s="59"/>
      <c r="AC4" s="59"/>
    </row>
    <row r="5" ht="22.5" customHeight="1">
      <c r="A5" s="28" t="s">
        <v>148</v>
      </c>
      <c r="B5" s="31" t="s">
        <v>71</v>
      </c>
      <c r="C5" s="32"/>
      <c r="D5" s="32" t="s">
        <v>150</v>
      </c>
      <c r="E5" s="34">
        <v>46271.0</v>
      </c>
      <c r="F5" s="61"/>
      <c r="G5" s="32" t="s">
        <v>151</v>
      </c>
      <c r="H5" s="39">
        <v>800.0</v>
      </c>
      <c r="I5" s="42">
        <v>0.0</v>
      </c>
      <c r="J5" s="39">
        <v>0.0</v>
      </c>
      <c r="K5" s="42">
        <v>800.0</v>
      </c>
      <c r="L5" s="49" t="s">
        <v>77</v>
      </c>
      <c r="M5" s="51" t="s">
        <v>37</v>
      </c>
      <c r="N5" s="49" t="s">
        <v>44</v>
      </c>
      <c r="O5" s="49" t="s">
        <v>153</v>
      </c>
      <c r="P5" s="56" t="s">
        <v>154</v>
      </c>
      <c r="Q5" s="57"/>
      <c r="R5" s="57"/>
      <c r="S5" s="49"/>
      <c r="T5" s="59"/>
      <c r="U5" s="59"/>
      <c r="V5" s="59"/>
      <c r="W5" s="59"/>
      <c r="X5" s="59"/>
      <c r="Y5" s="59"/>
      <c r="Z5" s="59"/>
      <c r="AA5" s="59"/>
      <c r="AB5" s="59"/>
      <c r="AC5" s="59"/>
    </row>
    <row r="6" ht="22.5" customHeight="1">
      <c r="A6" s="28" t="s">
        <v>148</v>
      </c>
      <c r="B6" s="31" t="s">
        <v>71</v>
      </c>
      <c r="C6" s="32"/>
      <c r="D6" s="32" t="s">
        <v>150</v>
      </c>
      <c r="E6" s="34">
        <v>46271.0</v>
      </c>
      <c r="F6" s="61"/>
      <c r="G6" s="32" t="s">
        <v>151</v>
      </c>
      <c r="H6" s="39">
        <v>800.0</v>
      </c>
      <c r="I6" s="42">
        <v>0.0</v>
      </c>
      <c r="J6" s="39">
        <v>0.0</v>
      </c>
      <c r="K6" s="42">
        <v>800.0</v>
      </c>
      <c r="L6" s="49" t="s">
        <v>77</v>
      </c>
      <c r="M6" s="51" t="s">
        <v>37</v>
      </c>
      <c r="N6" s="49" t="s">
        <v>44</v>
      </c>
      <c r="O6" s="49" t="s">
        <v>156</v>
      </c>
      <c r="P6" s="56" t="s">
        <v>154</v>
      </c>
      <c r="Q6" s="57"/>
      <c r="R6" s="57"/>
      <c r="S6" s="49"/>
      <c r="T6" s="59"/>
      <c r="U6" s="59"/>
      <c r="V6" s="59"/>
      <c r="W6" s="59"/>
      <c r="X6" s="59"/>
      <c r="Y6" s="59"/>
      <c r="Z6" s="59"/>
      <c r="AA6" s="59"/>
      <c r="AB6" s="59"/>
      <c r="AC6" s="59"/>
    </row>
    <row r="7" ht="22.5" customHeight="1">
      <c r="A7" s="28" t="s">
        <v>148</v>
      </c>
      <c r="B7" s="31" t="s">
        <v>71</v>
      </c>
      <c r="C7" s="32"/>
      <c r="D7" s="32" t="s">
        <v>150</v>
      </c>
      <c r="E7" s="34">
        <v>46271.0</v>
      </c>
      <c r="F7" s="61"/>
      <c r="G7" s="32" t="s">
        <v>151</v>
      </c>
      <c r="H7" s="39">
        <v>800.0</v>
      </c>
      <c r="I7" s="42">
        <v>0.0</v>
      </c>
      <c r="J7" s="39">
        <v>0.0</v>
      </c>
      <c r="K7" s="42">
        <v>800.0</v>
      </c>
      <c r="L7" s="49" t="s">
        <v>77</v>
      </c>
      <c r="M7" s="51" t="s">
        <v>37</v>
      </c>
      <c r="N7" s="49" t="s">
        <v>44</v>
      </c>
      <c r="O7" s="49" t="s">
        <v>153</v>
      </c>
      <c r="P7" s="56" t="s">
        <v>159</v>
      </c>
      <c r="Q7" s="57"/>
      <c r="R7" s="57"/>
      <c r="S7" s="49"/>
      <c r="T7" s="59"/>
      <c r="U7" s="59"/>
      <c r="V7" s="59"/>
      <c r="W7" s="59"/>
      <c r="X7" s="59"/>
      <c r="Y7" s="59"/>
      <c r="Z7" s="59"/>
      <c r="AA7" s="59"/>
      <c r="AB7" s="59"/>
      <c r="AC7" s="59"/>
    </row>
    <row r="8" ht="22.5" customHeight="1">
      <c r="A8" s="28" t="s">
        <v>148</v>
      </c>
      <c r="B8" s="31" t="s">
        <v>71</v>
      </c>
      <c r="C8" s="32">
        <v>1241909.0</v>
      </c>
      <c r="D8" s="32" t="s">
        <v>161</v>
      </c>
      <c r="E8" s="34">
        <v>46271.0</v>
      </c>
      <c r="F8" s="61"/>
      <c r="G8" s="32" t="s">
        <v>151</v>
      </c>
      <c r="H8" s="39">
        <v>15620.0</v>
      </c>
      <c r="I8" s="42">
        <f t="shared" ref="I8:I16" si="1">H8*19%</f>
        <v>2967.8</v>
      </c>
      <c r="J8" s="39">
        <v>0.0</v>
      </c>
      <c r="K8" s="42">
        <f>(H8+I8)-1844</f>
        <v>16743.8</v>
      </c>
      <c r="L8" s="49" t="s">
        <v>77</v>
      </c>
      <c r="M8" s="51" t="s">
        <v>37</v>
      </c>
      <c r="N8" s="49" t="s">
        <v>44</v>
      </c>
      <c r="O8" s="49" t="s">
        <v>164</v>
      </c>
      <c r="P8" s="56" t="s">
        <v>165</v>
      </c>
      <c r="Q8" s="57"/>
      <c r="R8" s="57"/>
      <c r="S8" s="49"/>
      <c r="T8" s="59"/>
      <c r="U8" s="59"/>
      <c r="V8" s="59"/>
      <c r="W8" s="59"/>
      <c r="X8" s="59"/>
      <c r="Y8" s="59"/>
      <c r="Z8" s="59"/>
      <c r="AA8" s="59"/>
      <c r="AB8" s="59"/>
      <c r="AC8" s="59"/>
    </row>
    <row r="9" ht="22.5" customHeight="1">
      <c r="A9" s="28" t="s">
        <v>148</v>
      </c>
      <c r="B9" s="31" t="s">
        <v>71</v>
      </c>
      <c r="C9" s="32">
        <v>2.689791942E9</v>
      </c>
      <c r="D9" s="32" t="s">
        <v>167</v>
      </c>
      <c r="E9" s="34">
        <v>46269.0</v>
      </c>
      <c r="F9" s="61"/>
      <c r="G9" s="32" t="s">
        <v>52</v>
      </c>
      <c r="H9" s="88">
        <f t="shared" ref="H9:H12" si="2">K9/1.19</f>
        <v>88579.83193</v>
      </c>
      <c r="I9" s="48">
        <f t="shared" si="1"/>
        <v>16830.16807</v>
      </c>
      <c r="J9" s="39">
        <v>0.0</v>
      </c>
      <c r="K9" s="42">
        <v>105410.0</v>
      </c>
      <c r="L9" s="49" t="s">
        <v>77</v>
      </c>
      <c r="M9" s="51" t="s">
        <v>37</v>
      </c>
      <c r="N9" s="49" t="s">
        <v>44</v>
      </c>
      <c r="O9" s="49" t="s">
        <v>169</v>
      </c>
      <c r="P9" s="56" t="s">
        <v>170</v>
      </c>
      <c r="Q9" s="57"/>
      <c r="R9" s="57"/>
      <c r="S9" s="49"/>
      <c r="T9" s="59"/>
      <c r="U9" s="59"/>
      <c r="V9" s="59"/>
      <c r="W9" s="59"/>
      <c r="X9" s="59"/>
      <c r="Y9" s="59"/>
      <c r="Z9" s="59"/>
      <c r="AA9" s="59"/>
      <c r="AB9" s="59"/>
      <c r="AC9" s="59"/>
    </row>
    <row r="10" ht="22.5" customHeight="1">
      <c r="A10" s="28" t="s">
        <v>148</v>
      </c>
      <c r="B10" s="31" t="s">
        <v>71</v>
      </c>
      <c r="C10" s="32">
        <v>2.663056173E9</v>
      </c>
      <c r="D10" s="32" t="s">
        <v>167</v>
      </c>
      <c r="E10" s="34">
        <v>46268.0</v>
      </c>
      <c r="F10" s="61"/>
      <c r="G10" s="32" t="s">
        <v>52</v>
      </c>
      <c r="H10" s="88">
        <f t="shared" si="2"/>
        <v>13176.47059</v>
      </c>
      <c r="I10" s="48">
        <f t="shared" si="1"/>
        <v>2503.529412</v>
      </c>
      <c r="J10" s="39">
        <v>0.0</v>
      </c>
      <c r="K10" s="42">
        <v>15680.0</v>
      </c>
      <c r="L10" s="49" t="s">
        <v>77</v>
      </c>
      <c r="M10" s="51" t="s">
        <v>37</v>
      </c>
      <c r="N10" s="49" t="s">
        <v>44</v>
      </c>
      <c r="O10" s="49" t="s">
        <v>172</v>
      </c>
      <c r="P10" s="56" t="s">
        <v>173</v>
      </c>
      <c r="Q10" s="57"/>
      <c r="R10" s="57"/>
      <c r="S10" s="49"/>
      <c r="T10" s="59"/>
      <c r="U10" s="59"/>
      <c r="V10" s="59"/>
      <c r="W10" s="59"/>
      <c r="X10" s="59"/>
      <c r="Y10" s="59"/>
      <c r="Z10" s="59"/>
      <c r="AA10" s="59"/>
      <c r="AB10" s="59"/>
      <c r="AC10" s="59"/>
    </row>
    <row r="11" ht="22.5" customHeight="1">
      <c r="A11" s="28" t="s">
        <v>177</v>
      </c>
      <c r="B11" s="31" t="s">
        <v>71</v>
      </c>
      <c r="C11" s="32">
        <v>1.49451576E8</v>
      </c>
      <c r="D11" s="32" t="s">
        <v>178</v>
      </c>
      <c r="E11" s="34">
        <v>46267.0</v>
      </c>
      <c r="F11" s="61"/>
      <c r="G11" s="32"/>
      <c r="H11" s="88">
        <f t="shared" si="2"/>
        <v>5327.731092</v>
      </c>
      <c r="I11" s="48">
        <f t="shared" si="1"/>
        <v>1012.268908</v>
      </c>
      <c r="J11" s="39">
        <v>0.0</v>
      </c>
      <c r="K11" s="42">
        <v>6340.0</v>
      </c>
      <c r="L11" s="49" t="s">
        <v>77</v>
      </c>
      <c r="M11" s="51" t="s">
        <v>37</v>
      </c>
      <c r="N11" s="49" t="s">
        <v>44</v>
      </c>
      <c r="O11" s="49" t="s">
        <v>179</v>
      </c>
      <c r="P11" s="56" t="s">
        <v>180</v>
      </c>
      <c r="Q11" s="57"/>
      <c r="R11" s="57"/>
      <c r="S11" s="49"/>
      <c r="T11" s="59"/>
      <c r="U11" s="59"/>
      <c r="V11" s="59"/>
      <c r="W11" s="59"/>
      <c r="X11" s="59"/>
      <c r="Y11" s="59"/>
      <c r="Z11" s="59"/>
      <c r="AA11" s="59"/>
      <c r="AB11" s="59"/>
      <c r="AC11" s="59"/>
    </row>
    <row r="12" ht="22.5" customHeight="1">
      <c r="A12" s="28" t="s">
        <v>177</v>
      </c>
      <c r="B12" s="31" t="s">
        <v>71</v>
      </c>
      <c r="C12" s="32">
        <v>1.49451577E8</v>
      </c>
      <c r="D12" s="32" t="s">
        <v>178</v>
      </c>
      <c r="E12" s="34">
        <v>46267.0</v>
      </c>
      <c r="F12" s="61"/>
      <c r="G12" s="32"/>
      <c r="H12" s="88">
        <f t="shared" si="2"/>
        <v>2512.605042</v>
      </c>
      <c r="I12" s="48">
        <f t="shared" si="1"/>
        <v>477.394958</v>
      </c>
      <c r="J12" s="39">
        <v>0.0</v>
      </c>
      <c r="K12" s="42">
        <v>2990.0</v>
      </c>
      <c r="L12" s="49" t="s">
        <v>77</v>
      </c>
      <c r="M12" s="51" t="s">
        <v>37</v>
      </c>
      <c r="N12" s="49" t="s">
        <v>44</v>
      </c>
      <c r="O12" s="49" t="s">
        <v>183</v>
      </c>
      <c r="P12" s="95" t="s">
        <v>184</v>
      </c>
      <c r="Q12" s="57"/>
      <c r="R12" s="57"/>
      <c r="S12" s="49"/>
      <c r="T12" s="59"/>
      <c r="U12" s="59"/>
      <c r="V12" s="59"/>
      <c r="W12" s="59"/>
      <c r="X12" s="59"/>
      <c r="Y12" s="59"/>
      <c r="Z12" s="59"/>
      <c r="AA12" s="59"/>
      <c r="AB12" s="59"/>
      <c r="AC12" s="59"/>
    </row>
    <row r="13" ht="22.5" customHeight="1">
      <c r="A13" s="28" t="s">
        <v>177</v>
      </c>
      <c r="B13" s="31" t="s">
        <v>71</v>
      </c>
      <c r="C13" s="32">
        <v>189.0</v>
      </c>
      <c r="D13" s="32" t="s">
        <v>186</v>
      </c>
      <c r="E13" s="34">
        <v>46266.0</v>
      </c>
      <c r="F13" s="61"/>
      <c r="G13" s="32" t="s">
        <v>187</v>
      </c>
      <c r="H13" s="39">
        <v>0.0</v>
      </c>
      <c r="I13" s="48">
        <f t="shared" si="1"/>
        <v>0</v>
      </c>
      <c r="J13" s="39">
        <v>0.0</v>
      </c>
      <c r="K13" s="42">
        <v>67033.0</v>
      </c>
      <c r="L13" s="49" t="s">
        <v>77</v>
      </c>
      <c r="M13" s="51" t="s">
        <v>37</v>
      </c>
      <c r="N13" s="49" t="s">
        <v>44</v>
      </c>
      <c r="O13" s="49" t="s">
        <v>188</v>
      </c>
      <c r="P13" s="56" t="s">
        <v>189</v>
      </c>
      <c r="Q13" s="57"/>
      <c r="R13" s="57"/>
      <c r="S13" s="49"/>
      <c r="T13" s="59"/>
      <c r="U13" s="59"/>
      <c r="V13" s="59"/>
      <c r="W13" s="59"/>
      <c r="X13" s="59"/>
      <c r="Y13" s="59"/>
      <c r="Z13" s="59"/>
      <c r="AA13" s="59"/>
      <c r="AB13" s="59"/>
      <c r="AC13" s="59"/>
    </row>
    <row r="14" ht="22.5" customHeight="1">
      <c r="A14" s="28" t="s">
        <v>177</v>
      </c>
      <c r="B14" s="31" t="s">
        <v>71</v>
      </c>
      <c r="C14" s="32">
        <v>10570.0</v>
      </c>
      <c r="D14" s="32" t="s">
        <v>190</v>
      </c>
      <c r="E14" s="34">
        <v>46265.0</v>
      </c>
      <c r="F14" s="61"/>
      <c r="G14" s="32"/>
      <c r="H14" s="39">
        <v>0.0</v>
      </c>
      <c r="I14" s="48">
        <f t="shared" si="1"/>
        <v>0</v>
      </c>
      <c r="J14" s="39">
        <v>0.0</v>
      </c>
      <c r="K14" s="42">
        <v>25850.0</v>
      </c>
      <c r="L14" s="49" t="s">
        <v>77</v>
      </c>
      <c r="M14" s="51" t="s">
        <v>37</v>
      </c>
      <c r="N14" s="49" t="s">
        <v>44</v>
      </c>
      <c r="O14" s="49" t="s">
        <v>192</v>
      </c>
      <c r="P14" s="56" t="s">
        <v>193</v>
      </c>
      <c r="Q14" s="57"/>
      <c r="R14" s="57"/>
      <c r="S14" s="49"/>
      <c r="T14" s="59"/>
      <c r="U14" s="59"/>
      <c r="V14" s="59"/>
      <c r="W14" s="59"/>
      <c r="X14" s="59"/>
      <c r="Y14" s="59"/>
      <c r="Z14" s="59"/>
      <c r="AA14" s="59"/>
      <c r="AB14" s="59"/>
      <c r="AC14" s="59"/>
    </row>
    <row r="15" ht="22.5" customHeight="1">
      <c r="A15" s="28" t="s">
        <v>148</v>
      </c>
      <c r="B15" s="31" t="s">
        <v>71</v>
      </c>
      <c r="C15" s="32">
        <v>2.0088414E7</v>
      </c>
      <c r="D15" s="32" t="s">
        <v>194</v>
      </c>
      <c r="E15" s="34">
        <v>46265.0</v>
      </c>
      <c r="F15" s="61"/>
      <c r="G15" s="32" t="s">
        <v>52</v>
      </c>
      <c r="H15" s="88">
        <f t="shared" ref="H15:H16" si="3">K15/1.19</f>
        <v>9243.697479</v>
      </c>
      <c r="I15" s="48">
        <f t="shared" si="1"/>
        <v>1756.302521</v>
      </c>
      <c r="J15" s="39">
        <v>0.0</v>
      </c>
      <c r="K15" s="42">
        <v>11000.0</v>
      </c>
      <c r="L15" s="49" t="s">
        <v>77</v>
      </c>
      <c r="M15" s="51" t="s">
        <v>37</v>
      </c>
      <c r="N15" s="49" t="s">
        <v>44</v>
      </c>
      <c r="O15" s="49" t="s">
        <v>195</v>
      </c>
      <c r="P15" s="97">
        <v>46236.0</v>
      </c>
      <c r="Q15" s="57"/>
      <c r="R15" s="57"/>
      <c r="S15" s="49"/>
      <c r="T15" s="59"/>
      <c r="U15" s="59"/>
      <c r="V15" s="59"/>
      <c r="W15" s="59"/>
      <c r="X15" s="59"/>
      <c r="Y15" s="59"/>
      <c r="Z15" s="59"/>
      <c r="AA15" s="59"/>
      <c r="AB15" s="59"/>
      <c r="AC15" s="59"/>
    </row>
    <row r="16" ht="22.5" customHeight="1">
      <c r="A16" s="28" t="s">
        <v>148</v>
      </c>
      <c r="B16" s="31" t="s">
        <v>71</v>
      </c>
      <c r="C16" s="32">
        <v>2.0059394E7</v>
      </c>
      <c r="D16" s="32" t="s">
        <v>196</v>
      </c>
      <c r="E16" s="34">
        <v>46265.0</v>
      </c>
      <c r="F16" s="61"/>
      <c r="G16" s="32" t="s">
        <v>52</v>
      </c>
      <c r="H16" s="88">
        <f t="shared" si="3"/>
        <v>10084.03361</v>
      </c>
      <c r="I16" s="48">
        <f t="shared" si="1"/>
        <v>1915.966387</v>
      </c>
      <c r="J16" s="39">
        <v>0.0</v>
      </c>
      <c r="K16" s="42">
        <v>12000.0</v>
      </c>
      <c r="L16" s="49" t="s">
        <v>77</v>
      </c>
      <c r="M16" s="51" t="s">
        <v>37</v>
      </c>
      <c r="N16" s="49" t="s">
        <v>44</v>
      </c>
      <c r="O16" s="49" t="s">
        <v>197</v>
      </c>
      <c r="P16" s="97">
        <v>46236.0</v>
      </c>
      <c r="Q16" s="57"/>
      <c r="R16" s="57"/>
      <c r="S16" s="49"/>
      <c r="T16" s="59"/>
      <c r="U16" s="59"/>
      <c r="V16" s="59"/>
      <c r="W16" s="59"/>
      <c r="X16" s="59"/>
      <c r="Y16" s="59"/>
      <c r="Z16" s="59"/>
      <c r="AA16" s="59"/>
      <c r="AB16" s="59"/>
      <c r="AC16" s="59"/>
    </row>
    <row r="17" ht="22.5" customHeight="1">
      <c r="A17" s="28" t="s">
        <v>148</v>
      </c>
      <c r="B17" s="31" t="s">
        <v>71</v>
      </c>
      <c r="C17" s="32">
        <v>3196790.0</v>
      </c>
      <c r="D17" s="32" t="s">
        <v>198</v>
      </c>
      <c r="E17" s="34">
        <v>46262.0</v>
      </c>
      <c r="F17" s="61"/>
      <c r="G17" s="32" t="s">
        <v>187</v>
      </c>
      <c r="H17" s="98">
        <v>14264.0</v>
      </c>
      <c r="I17" s="99">
        <v>2805.0</v>
      </c>
      <c r="J17" s="98">
        <v>0.0</v>
      </c>
      <c r="K17" s="99">
        <v>15794.0</v>
      </c>
      <c r="L17" s="49" t="s">
        <v>77</v>
      </c>
      <c r="M17" s="51" t="s">
        <v>37</v>
      </c>
      <c r="N17" s="49" t="s">
        <v>44</v>
      </c>
      <c r="O17" s="49" t="s">
        <v>164</v>
      </c>
      <c r="P17" s="56" t="s">
        <v>199</v>
      </c>
      <c r="Q17" s="57"/>
      <c r="R17" s="57"/>
      <c r="S17" s="49"/>
      <c r="T17" s="59"/>
      <c r="U17" s="59"/>
      <c r="V17" s="59"/>
      <c r="W17" s="59"/>
      <c r="X17" s="59"/>
      <c r="Y17" s="59"/>
      <c r="Z17" s="59"/>
      <c r="AA17" s="59"/>
      <c r="AB17" s="59"/>
      <c r="AC17" s="59"/>
    </row>
    <row r="18" ht="22.5" customHeight="1">
      <c r="A18" s="28" t="s">
        <v>177</v>
      </c>
      <c r="B18" s="31" t="s">
        <v>71</v>
      </c>
      <c r="C18" s="32">
        <v>1284438.0</v>
      </c>
      <c r="D18" s="32" t="s">
        <v>200</v>
      </c>
      <c r="E18" s="34">
        <v>46261.0</v>
      </c>
      <c r="F18" s="61"/>
      <c r="G18" s="32" t="s">
        <v>52</v>
      </c>
      <c r="H18" s="88">
        <f t="shared" ref="H18:H22" si="4">K18/1.19</f>
        <v>73924.36975</v>
      </c>
      <c r="I18" s="48">
        <f t="shared" ref="I18:I31" si="5">H18*19%</f>
        <v>14045.63025</v>
      </c>
      <c r="J18" s="39">
        <v>0.0</v>
      </c>
      <c r="K18" s="42">
        <v>87970.0</v>
      </c>
      <c r="L18" s="49" t="s">
        <v>77</v>
      </c>
      <c r="M18" s="51" t="s">
        <v>37</v>
      </c>
      <c r="N18" s="49" t="s">
        <v>44</v>
      </c>
      <c r="O18" s="49" t="s">
        <v>201</v>
      </c>
      <c r="P18" s="97">
        <v>46236.0</v>
      </c>
      <c r="Q18" s="57"/>
      <c r="R18" s="57"/>
      <c r="S18" s="49"/>
      <c r="T18" s="59"/>
      <c r="U18" s="59"/>
      <c r="V18" s="59"/>
      <c r="W18" s="59"/>
      <c r="X18" s="59"/>
      <c r="Y18" s="59"/>
      <c r="Z18" s="59"/>
      <c r="AA18" s="59"/>
      <c r="AB18" s="59"/>
      <c r="AC18" s="59"/>
    </row>
    <row r="19" ht="22.5" customHeight="1">
      <c r="A19" s="28" t="s">
        <v>148</v>
      </c>
      <c r="B19" s="31" t="s">
        <v>71</v>
      </c>
      <c r="C19" s="32">
        <v>4.70091898E8</v>
      </c>
      <c r="D19" s="32" t="s">
        <v>202</v>
      </c>
      <c r="E19" s="34">
        <v>46261.0</v>
      </c>
      <c r="F19" s="61"/>
      <c r="G19" s="32" t="s">
        <v>52</v>
      </c>
      <c r="H19" s="88">
        <f t="shared" si="4"/>
        <v>1680.672269</v>
      </c>
      <c r="I19" s="48">
        <f t="shared" si="5"/>
        <v>319.3277311</v>
      </c>
      <c r="J19" s="39">
        <v>0.0</v>
      </c>
      <c r="K19" s="42">
        <v>2000.0</v>
      </c>
      <c r="L19" s="49" t="s">
        <v>77</v>
      </c>
      <c r="M19" s="51" t="s">
        <v>37</v>
      </c>
      <c r="N19" s="49" t="s">
        <v>44</v>
      </c>
      <c r="O19" s="49" t="s">
        <v>203</v>
      </c>
      <c r="P19" s="97">
        <v>46236.0</v>
      </c>
      <c r="Q19" s="57"/>
      <c r="R19" s="57"/>
      <c r="S19" s="49"/>
      <c r="T19" s="59"/>
      <c r="U19" s="59"/>
      <c r="V19" s="59"/>
      <c r="W19" s="59"/>
      <c r="X19" s="59"/>
      <c r="Y19" s="59"/>
      <c r="Z19" s="59"/>
      <c r="AA19" s="59"/>
      <c r="AB19" s="59"/>
      <c r="AC19" s="59"/>
    </row>
    <row r="20" ht="22.5" customHeight="1">
      <c r="A20" s="28" t="s">
        <v>148</v>
      </c>
      <c r="B20" s="31" t="s">
        <v>71</v>
      </c>
      <c r="C20" s="32">
        <v>2.620638606E9</v>
      </c>
      <c r="D20" s="32" t="s">
        <v>167</v>
      </c>
      <c r="E20" s="34">
        <v>46260.0</v>
      </c>
      <c r="F20" s="61"/>
      <c r="G20" s="32" t="s">
        <v>52</v>
      </c>
      <c r="H20" s="88">
        <f t="shared" si="4"/>
        <v>10688.23529</v>
      </c>
      <c r="I20" s="48">
        <f t="shared" si="5"/>
        <v>2030.764706</v>
      </c>
      <c r="J20" s="39">
        <v>0.0</v>
      </c>
      <c r="K20" s="42">
        <v>12719.0</v>
      </c>
      <c r="L20" s="49" t="s">
        <v>77</v>
      </c>
      <c r="M20" s="51" t="s">
        <v>37</v>
      </c>
      <c r="N20" s="49" t="s">
        <v>44</v>
      </c>
      <c r="O20" s="49" t="s">
        <v>204</v>
      </c>
      <c r="P20" s="95" t="s">
        <v>205</v>
      </c>
      <c r="Q20" s="57"/>
      <c r="R20" s="57"/>
      <c r="S20" s="49"/>
      <c r="T20" s="59"/>
      <c r="U20" s="59"/>
      <c r="V20" s="59"/>
      <c r="W20" s="59"/>
      <c r="X20" s="59"/>
      <c r="Y20" s="59"/>
      <c r="Z20" s="59"/>
      <c r="AA20" s="59"/>
      <c r="AB20" s="59"/>
      <c r="AC20" s="59"/>
    </row>
    <row r="21" ht="22.5" customHeight="1">
      <c r="A21" s="28" t="s">
        <v>177</v>
      </c>
      <c r="B21" s="31" t="s">
        <v>71</v>
      </c>
      <c r="C21" s="32">
        <v>3.8950212E7</v>
      </c>
      <c r="D21" s="32" t="s">
        <v>206</v>
      </c>
      <c r="E21" s="34">
        <v>46259.0</v>
      </c>
      <c r="F21" s="61"/>
      <c r="G21" s="32" t="s">
        <v>151</v>
      </c>
      <c r="H21" s="88">
        <f t="shared" si="4"/>
        <v>22680.67227</v>
      </c>
      <c r="I21" s="48">
        <f t="shared" si="5"/>
        <v>4309.327731</v>
      </c>
      <c r="J21" s="39">
        <v>0.0</v>
      </c>
      <c r="K21" s="42">
        <v>26990.0</v>
      </c>
      <c r="L21" s="49" t="s">
        <v>77</v>
      </c>
      <c r="M21" s="51" t="s">
        <v>37</v>
      </c>
      <c r="N21" s="49" t="s">
        <v>44</v>
      </c>
      <c r="O21" s="49" t="s">
        <v>207</v>
      </c>
      <c r="P21" s="97">
        <v>46236.0</v>
      </c>
      <c r="Q21" s="57"/>
      <c r="R21" s="57"/>
      <c r="S21" s="49"/>
      <c r="T21" s="59"/>
      <c r="U21" s="59"/>
      <c r="V21" s="59"/>
      <c r="W21" s="59"/>
      <c r="X21" s="59"/>
      <c r="Y21" s="59"/>
      <c r="Z21" s="59"/>
      <c r="AA21" s="59"/>
      <c r="AB21" s="59"/>
      <c r="AC21" s="59"/>
    </row>
    <row r="22" ht="22.5" customHeight="1">
      <c r="A22" s="28" t="s">
        <v>177</v>
      </c>
      <c r="B22" s="31" t="s">
        <v>71</v>
      </c>
      <c r="C22" s="32">
        <v>3.8950212E7</v>
      </c>
      <c r="D22" s="32" t="s">
        <v>206</v>
      </c>
      <c r="E22" s="34">
        <v>46259.0</v>
      </c>
      <c r="F22" s="61"/>
      <c r="G22" s="32" t="s">
        <v>52</v>
      </c>
      <c r="H22" s="88">
        <f t="shared" si="4"/>
        <v>52092.43697</v>
      </c>
      <c r="I22" s="48">
        <f t="shared" si="5"/>
        <v>9897.563025</v>
      </c>
      <c r="J22" s="39">
        <v>0.0</v>
      </c>
      <c r="K22" s="42">
        <v>61990.0</v>
      </c>
      <c r="L22" s="49" t="s">
        <v>77</v>
      </c>
      <c r="M22" s="51" t="s">
        <v>37</v>
      </c>
      <c r="N22" s="49" t="s">
        <v>44</v>
      </c>
      <c r="O22" s="49" t="s">
        <v>207</v>
      </c>
      <c r="P22" s="97">
        <v>46236.0</v>
      </c>
      <c r="Q22" s="57"/>
      <c r="R22" s="57"/>
      <c r="S22" s="49"/>
      <c r="T22" s="59"/>
      <c r="U22" s="59"/>
      <c r="V22" s="59"/>
      <c r="W22" s="59"/>
      <c r="X22" s="59"/>
      <c r="Y22" s="59"/>
      <c r="Z22" s="59"/>
      <c r="AA22" s="59"/>
      <c r="AB22" s="59"/>
      <c r="AC22" s="59"/>
    </row>
    <row r="23" ht="22.5" customHeight="1">
      <c r="A23" s="28" t="s">
        <v>177</v>
      </c>
      <c r="B23" s="31" t="s">
        <v>71</v>
      </c>
      <c r="C23" s="32">
        <v>95151.0</v>
      </c>
      <c r="D23" s="32" t="s">
        <v>208</v>
      </c>
      <c r="E23" s="34">
        <v>46259.0</v>
      </c>
      <c r="F23" s="61"/>
      <c r="G23" s="32" t="s">
        <v>52</v>
      </c>
      <c r="H23" s="39">
        <v>9332.0</v>
      </c>
      <c r="I23" s="42">
        <f t="shared" si="5"/>
        <v>1773.08</v>
      </c>
      <c r="J23" s="39">
        <v>0.0</v>
      </c>
      <c r="K23" s="42">
        <f>(H23+I23)+4402-507</f>
        <v>15000.08</v>
      </c>
      <c r="L23" s="49" t="s">
        <v>77</v>
      </c>
      <c r="M23" s="51" t="s">
        <v>37</v>
      </c>
      <c r="N23" s="49" t="s">
        <v>44</v>
      </c>
      <c r="O23" s="49" t="s">
        <v>209</v>
      </c>
      <c r="P23" s="97">
        <v>46236.0</v>
      </c>
      <c r="Q23" s="57"/>
      <c r="R23" s="57"/>
      <c r="S23" s="49"/>
      <c r="T23" s="59"/>
      <c r="U23" s="59"/>
      <c r="V23" s="59"/>
      <c r="W23" s="59"/>
      <c r="X23" s="59"/>
      <c r="Y23" s="59"/>
      <c r="Z23" s="59"/>
      <c r="AA23" s="59"/>
      <c r="AB23" s="59"/>
      <c r="AC23" s="59"/>
    </row>
    <row r="24" ht="22.5" customHeight="1">
      <c r="A24" s="100"/>
      <c r="B24" s="31" t="s">
        <v>71</v>
      </c>
      <c r="C24" s="32" t="s">
        <v>210</v>
      </c>
      <c r="D24" s="101" t="s">
        <v>211</v>
      </c>
      <c r="E24" s="34">
        <v>46258.0</v>
      </c>
      <c r="F24" s="31" t="s">
        <v>212</v>
      </c>
      <c r="G24" s="32" t="s">
        <v>187</v>
      </c>
      <c r="H24" s="48">
        <f t="shared" ref="H24:H31" si="6">K24/1.19</f>
        <v>13235.92437</v>
      </c>
      <c r="I24" s="48">
        <f t="shared" si="5"/>
        <v>2514.82563</v>
      </c>
      <c r="J24" s="42">
        <v>0.0</v>
      </c>
      <c r="K24" s="102">
        <v>15750.75</v>
      </c>
      <c r="L24" s="49" t="s">
        <v>77</v>
      </c>
      <c r="M24" s="51" t="s">
        <v>37</v>
      </c>
      <c r="N24" s="49" t="s">
        <v>44</v>
      </c>
      <c r="O24" s="101" t="s">
        <v>213</v>
      </c>
      <c r="P24" s="56" t="s">
        <v>214</v>
      </c>
      <c r="Q24" s="57"/>
      <c r="R24" s="57"/>
      <c r="S24" s="49"/>
      <c r="T24" s="59"/>
      <c r="U24" s="59"/>
      <c r="V24" s="59"/>
      <c r="W24" s="59"/>
      <c r="X24" s="59"/>
      <c r="Y24" s="59"/>
      <c r="Z24" s="59"/>
      <c r="AA24" s="59"/>
      <c r="AB24" s="59"/>
      <c r="AC24" s="59"/>
    </row>
    <row r="25" ht="22.5" customHeight="1">
      <c r="A25" s="28" t="s">
        <v>148</v>
      </c>
      <c r="B25" s="31" t="s">
        <v>71</v>
      </c>
      <c r="C25" s="32">
        <v>273895.0</v>
      </c>
      <c r="D25" s="32" t="s">
        <v>215</v>
      </c>
      <c r="E25" s="34">
        <v>46255.0</v>
      </c>
      <c r="F25" s="31"/>
      <c r="G25" s="32"/>
      <c r="H25" s="48">
        <f t="shared" si="6"/>
        <v>10974.78992</v>
      </c>
      <c r="I25" s="48">
        <f t="shared" si="5"/>
        <v>2085.210084</v>
      </c>
      <c r="J25" s="42">
        <v>0.0</v>
      </c>
      <c r="K25" s="42">
        <v>13060.0</v>
      </c>
      <c r="L25" s="49" t="s">
        <v>77</v>
      </c>
      <c r="M25" s="51" t="s">
        <v>37</v>
      </c>
      <c r="N25" s="49" t="s">
        <v>44</v>
      </c>
      <c r="O25" s="49" t="s">
        <v>216</v>
      </c>
      <c r="P25" s="56" t="s">
        <v>217</v>
      </c>
      <c r="Q25" s="57"/>
      <c r="R25" s="57"/>
      <c r="S25" s="49"/>
      <c r="T25" s="59"/>
      <c r="U25" s="59"/>
      <c r="V25" s="59"/>
      <c r="W25" s="59"/>
      <c r="X25" s="59"/>
      <c r="Y25" s="59"/>
      <c r="Z25" s="59"/>
      <c r="AA25" s="59"/>
      <c r="AB25" s="59"/>
      <c r="AC25" s="59"/>
    </row>
    <row r="26" ht="22.5" customHeight="1">
      <c r="A26" s="28" t="s">
        <v>177</v>
      </c>
      <c r="B26" s="31" t="s">
        <v>71</v>
      </c>
      <c r="C26" s="32">
        <v>20136.0</v>
      </c>
      <c r="D26" s="32" t="s">
        <v>218</v>
      </c>
      <c r="E26" s="34">
        <v>46255.0</v>
      </c>
      <c r="F26" s="31"/>
      <c r="G26" s="32"/>
      <c r="H26" s="48">
        <f t="shared" si="6"/>
        <v>8806.722689</v>
      </c>
      <c r="I26" s="48">
        <f t="shared" si="5"/>
        <v>1673.277311</v>
      </c>
      <c r="J26" s="42">
        <v>0.0</v>
      </c>
      <c r="K26" s="42">
        <v>10480.0</v>
      </c>
      <c r="L26" s="49" t="s">
        <v>77</v>
      </c>
      <c r="M26" s="51" t="s">
        <v>37</v>
      </c>
      <c r="N26" s="49" t="s">
        <v>44</v>
      </c>
      <c r="O26" s="49" t="s">
        <v>219</v>
      </c>
      <c r="P26" s="56" t="s">
        <v>220</v>
      </c>
      <c r="Q26" s="57"/>
      <c r="R26" s="57"/>
      <c r="S26" s="49"/>
      <c r="T26" s="59"/>
      <c r="U26" s="59"/>
      <c r="V26" s="59"/>
      <c r="W26" s="59"/>
      <c r="X26" s="59"/>
      <c r="Y26" s="59"/>
      <c r="Z26" s="59"/>
      <c r="AA26" s="59"/>
      <c r="AB26" s="59"/>
      <c r="AC26" s="59"/>
    </row>
    <row r="27" ht="22.5" customHeight="1">
      <c r="A27" s="100"/>
      <c r="B27" s="31" t="s">
        <v>71</v>
      </c>
      <c r="C27" s="32" t="s">
        <v>221</v>
      </c>
      <c r="D27" s="32" t="s">
        <v>222</v>
      </c>
      <c r="E27" s="34">
        <v>46255.0</v>
      </c>
      <c r="F27" s="31" t="s">
        <v>212</v>
      </c>
      <c r="G27" s="32" t="s">
        <v>187</v>
      </c>
      <c r="H27" s="48">
        <f t="shared" si="6"/>
        <v>15580.84034</v>
      </c>
      <c r="I27" s="48">
        <f t="shared" si="5"/>
        <v>2960.359664</v>
      </c>
      <c r="J27" s="42">
        <v>0.0</v>
      </c>
      <c r="K27" s="102">
        <v>18541.2</v>
      </c>
      <c r="L27" s="49" t="s">
        <v>77</v>
      </c>
      <c r="M27" s="51" t="s">
        <v>37</v>
      </c>
      <c r="N27" s="49" t="s">
        <v>46</v>
      </c>
      <c r="O27" s="49" t="s">
        <v>222</v>
      </c>
      <c r="P27" s="56" t="s">
        <v>214</v>
      </c>
      <c r="Q27" s="57"/>
      <c r="R27" s="57"/>
      <c r="S27" s="49"/>
      <c r="T27" s="59"/>
      <c r="U27" s="59"/>
      <c r="V27" s="59"/>
      <c r="W27" s="59"/>
      <c r="X27" s="59"/>
      <c r="Y27" s="59"/>
      <c r="Z27" s="59"/>
      <c r="AA27" s="59"/>
      <c r="AB27" s="59"/>
      <c r="AC27" s="59"/>
    </row>
    <row r="28" ht="22.5" customHeight="1">
      <c r="A28" s="100"/>
      <c r="B28" s="31" t="s">
        <v>71</v>
      </c>
      <c r="C28" s="32" t="s">
        <v>223</v>
      </c>
      <c r="D28" s="32" t="s">
        <v>224</v>
      </c>
      <c r="E28" s="34">
        <v>46254.0</v>
      </c>
      <c r="F28" s="31" t="s">
        <v>212</v>
      </c>
      <c r="G28" s="32" t="s">
        <v>187</v>
      </c>
      <c r="H28" s="88">
        <f t="shared" si="6"/>
        <v>45.37815126</v>
      </c>
      <c r="I28" s="48">
        <f t="shared" si="5"/>
        <v>8.621848739</v>
      </c>
      <c r="J28" s="39">
        <v>0.0</v>
      </c>
      <c r="K28" s="102">
        <v>54.0</v>
      </c>
      <c r="L28" s="49" t="s">
        <v>77</v>
      </c>
      <c r="M28" s="51" t="s">
        <v>37</v>
      </c>
      <c r="N28" s="49" t="s">
        <v>44</v>
      </c>
      <c r="O28" s="32" t="s">
        <v>224</v>
      </c>
      <c r="P28" s="56" t="s">
        <v>214</v>
      </c>
      <c r="Q28" s="57"/>
      <c r="R28" s="57"/>
      <c r="S28" s="49"/>
      <c r="T28" s="59"/>
      <c r="U28" s="59"/>
      <c r="V28" s="59"/>
      <c r="W28" s="59"/>
      <c r="X28" s="59"/>
      <c r="Y28" s="59"/>
      <c r="Z28" s="59"/>
      <c r="AA28" s="59"/>
      <c r="AB28" s="59"/>
      <c r="AC28" s="59"/>
    </row>
    <row r="29" ht="22.5" customHeight="1">
      <c r="A29" s="100"/>
      <c r="B29" s="31" t="s">
        <v>71</v>
      </c>
      <c r="C29" s="32" t="s">
        <v>223</v>
      </c>
      <c r="D29" s="32" t="s">
        <v>225</v>
      </c>
      <c r="E29" s="34">
        <v>46254.0</v>
      </c>
      <c r="F29" s="31" t="s">
        <v>212</v>
      </c>
      <c r="G29" s="32" t="s">
        <v>187</v>
      </c>
      <c r="H29" s="88">
        <f t="shared" si="6"/>
        <v>3433.613445</v>
      </c>
      <c r="I29" s="48">
        <f t="shared" si="5"/>
        <v>652.3865546</v>
      </c>
      <c r="J29" s="39">
        <v>0.0</v>
      </c>
      <c r="K29" s="102">
        <v>4086.0</v>
      </c>
      <c r="L29" s="49" t="s">
        <v>77</v>
      </c>
      <c r="M29" s="51" t="s">
        <v>37</v>
      </c>
      <c r="N29" s="49" t="s">
        <v>46</v>
      </c>
      <c r="O29" s="32" t="s">
        <v>225</v>
      </c>
      <c r="P29" s="56" t="s">
        <v>214</v>
      </c>
      <c r="Q29" s="57"/>
      <c r="R29" s="57"/>
      <c r="S29" s="49"/>
      <c r="T29" s="59"/>
      <c r="U29" s="59"/>
      <c r="V29" s="59"/>
      <c r="W29" s="59"/>
      <c r="X29" s="59"/>
      <c r="Y29" s="59"/>
      <c r="Z29" s="59"/>
      <c r="AA29" s="59"/>
      <c r="AB29" s="59"/>
      <c r="AC29" s="59"/>
    </row>
    <row r="30" ht="22.5" customHeight="1">
      <c r="A30" s="100"/>
      <c r="B30" s="31" t="s">
        <v>71</v>
      </c>
      <c r="C30" s="32" t="s">
        <v>223</v>
      </c>
      <c r="D30" s="32" t="s">
        <v>226</v>
      </c>
      <c r="E30" s="34">
        <v>46254.0</v>
      </c>
      <c r="F30" s="31" t="s">
        <v>212</v>
      </c>
      <c r="G30" s="32" t="s">
        <v>187</v>
      </c>
      <c r="H30" s="88">
        <f t="shared" si="6"/>
        <v>2279.831933</v>
      </c>
      <c r="I30" s="48">
        <f t="shared" si="5"/>
        <v>433.1680672</v>
      </c>
      <c r="J30" s="39">
        <v>0.0</v>
      </c>
      <c r="K30" s="102">
        <v>2713.0</v>
      </c>
      <c r="L30" s="49" t="s">
        <v>77</v>
      </c>
      <c r="M30" s="51" t="s">
        <v>37</v>
      </c>
      <c r="N30" s="49" t="s">
        <v>44</v>
      </c>
      <c r="O30" s="32" t="s">
        <v>226</v>
      </c>
      <c r="P30" s="56" t="s">
        <v>214</v>
      </c>
      <c r="Q30" s="57"/>
      <c r="R30" s="57"/>
      <c r="S30" s="49"/>
      <c r="T30" s="59"/>
      <c r="U30" s="59"/>
      <c r="V30" s="59"/>
      <c r="W30" s="59"/>
      <c r="X30" s="59"/>
      <c r="Y30" s="59"/>
      <c r="Z30" s="59"/>
      <c r="AA30" s="59"/>
      <c r="AB30" s="59"/>
      <c r="AC30" s="59"/>
    </row>
    <row r="31" ht="22.5" customHeight="1">
      <c r="A31" s="28" t="s">
        <v>177</v>
      </c>
      <c r="B31" s="31" t="s">
        <v>71</v>
      </c>
      <c r="C31" s="32">
        <v>5743514.0</v>
      </c>
      <c r="D31" s="32" t="s">
        <v>227</v>
      </c>
      <c r="E31" s="34">
        <v>46254.0</v>
      </c>
      <c r="F31" s="61"/>
      <c r="G31" s="32"/>
      <c r="H31" s="48">
        <f t="shared" si="6"/>
        <v>134445.3782</v>
      </c>
      <c r="I31" s="48">
        <f t="shared" si="5"/>
        <v>25544.62185</v>
      </c>
      <c r="J31" s="42">
        <v>0.0</v>
      </c>
      <c r="K31" s="42">
        <v>159990.0</v>
      </c>
      <c r="L31" s="49" t="s">
        <v>77</v>
      </c>
      <c r="M31" s="51" t="s">
        <v>37</v>
      </c>
      <c r="N31" s="49" t="s">
        <v>44</v>
      </c>
      <c r="O31" s="49" t="s">
        <v>228</v>
      </c>
      <c r="P31" s="56" t="s">
        <v>229</v>
      </c>
      <c r="Q31" s="57"/>
      <c r="R31" s="57"/>
      <c r="S31" s="49"/>
      <c r="T31" s="59"/>
      <c r="U31" s="59"/>
      <c r="V31" s="59"/>
      <c r="W31" s="59"/>
      <c r="X31" s="59"/>
      <c r="Y31" s="59"/>
      <c r="Z31" s="59"/>
      <c r="AA31" s="59"/>
      <c r="AB31" s="59"/>
      <c r="AC31" s="59"/>
    </row>
    <row r="32" ht="22.5" customHeight="1">
      <c r="A32" s="28" t="s">
        <v>177</v>
      </c>
      <c r="B32" s="31" t="s">
        <v>71</v>
      </c>
      <c r="C32" s="32">
        <v>78345.0</v>
      </c>
      <c r="D32" s="32" t="s">
        <v>230</v>
      </c>
      <c r="E32" s="34">
        <v>46253.0</v>
      </c>
      <c r="F32" s="61"/>
      <c r="G32" s="32" t="s">
        <v>52</v>
      </c>
      <c r="H32" s="39">
        <v>6376.0</v>
      </c>
      <c r="I32" s="42">
        <v>1211.0</v>
      </c>
      <c r="J32" s="39">
        <v>0.0</v>
      </c>
      <c r="K32" s="42">
        <f>(H32+I32)+3115-702</f>
        <v>10000</v>
      </c>
      <c r="L32" s="49" t="s">
        <v>77</v>
      </c>
      <c r="M32" s="51" t="s">
        <v>37</v>
      </c>
      <c r="N32" s="49" t="s">
        <v>44</v>
      </c>
      <c r="O32" s="49" t="s">
        <v>231</v>
      </c>
      <c r="P32" s="97">
        <v>46236.0</v>
      </c>
      <c r="Q32" s="57"/>
      <c r="R32" s="57"/>
      <c r="S32" s="49"/>
      <c r="T32" s="59"/>
      <c r="U32" s="59"/>
      <c r="V32" s="59"/>
      <c r="W32" s="59"/>
      <c r="X32" s="59"/>
      <c r="Y32" s="59"/>
      <c r="Z32" s="59"/>
      <c r="AA32" s="59"/>
      <c r="AB32" s="59"/>
      <c r="AC32" s="59"/>
    </row>
    <row r="33" ht="22.5" customHeight="1">
      <c r="A33" s="28" t="s">
        <v>177</v>
      </c>
      <c r="B33" s="31" t="s">
        <v>71</v>
      </c>
      <c r="C33" s="32">
        <v>3.8841643E7</v>
      </c>
      <c r="D33" s="32" t="s">
        <v>206</v>
      </c>
      <c r="E33" s="34">
        <v>46253.0</v>
      </c>
      <c r="F33" s="61"/>
      <c r="G33" s="32" t="s">
        <v>52</v>
      </c>
      <c r="H33" s="88">
        <f t="shared" ref="H33:H34" si="7">K33/1.19</f>
        <v>219512.605</v>
      </c>
      <c r="I33" s="48">
        <f t="shared" ref="I33:I34" si="8">H33*19%</f>
        <v>41707.39496</v>
      </c>
      <c r="J33" s="39">
        <v>0.0</v>
      </c>
      <c r="K33" s="42">
        <v>261220.0</v>
      </c>
      <c r="L33" s="49" t="s">
        <v>77</v>
      </c>
      <c r="M33" s="51" t="s">
        <v>37</v>
      </c>
      <c r="N33" s="49" t="s">
        <v>44</v>
      </c>
      <c r="O33" s="49" t="s">
        <v>207</v>
      </c>
      <c r="P33" s="97">
        <v>46236.0</v>
      </c>
      <c r="Q33" s="57"/>
      <c r="R33" s="57"/>
      <c r="S33" s="49"/>
      <c r="T33" s="59"/>
      <c r="U33" s="59"/>
      <c r="V33" s="59"/>
      <c r="W33" s="59"/>
      <c r="X33" s="59"/>
      <c r="Y33" s="59"/>
      <c r="Z33" s="59"/>
      <c r="AA33" s="59"/>
      <c r="AB33" s="59"/>
      <c r="AC33" s="59"/>
    </row>
    <row r="34" ht="22.5" customHeight="1">
      <c r="A34" s="28" t="s">
        <v>177</v>
      </c>
      <c r="B34" s="31" t="s">
        <v>71</v>
      </c>
      <c r="C34" s="32">
        <v>1.3341738E7</v>
      </c>
      <c r="D34" s="32" t="s">
        <v>232</v>
      </c>
      <c r="E34" s="34">
        <v>46253.0</v>
      </c>
      <c r="F34" s="61"/>
      <c r="G34" s="63"/>
      <c r="H34" s="88">
        <f t="shared" si="7"/>
        <v>6714.285714</v>
      </c>
      <c r="I34" s="48">
        <f t="shared" si="8"/>
        <v>1275.714286</v>
      </c>
      <c r="J34" s="39">
        <v>0.0</v>
      </c>
      <c r="K34" s="42">
        <v>7990.0</v>
      </c>
      <c r="L34" s="49" t="s">
        <v>77</v>
      </c>
      <c r="M34" s="51" t="s">
        <v>37</v>
      </c>
      <c r="N34" s="49" t="s">
        <v>44</v>
      </c>
      <c r="O34" s="49" t="s">
        <v>233</v>
      </c>
      <c r="P34" s="97">
        <v>46236.0</v>
      </c>
      <c r="Q34" s="57"/>
      <c r="R34" s="57"/>
      <c r="S34" s="49"/>
      <c r="T34" s="59"/>
      <c r="U34" s="59"/>
      <c r="V34" s="59"/>
      <c r="W34" s="59"/>
      <c r="X34" s="59"/>
      <c r="Y34" s="59"/>
      <c r="Z34" s="59"/>
      <c r="AA34" s="59"/>
      <c r="AB34" s="59"/>
      <c r="AC34" s="59"/>
    </row>
    <row r="35" ht="22.5" customHeight="1">
      <c r="A35" s="28" t="s">
        <v>177</v>
      </c>
      <c r="B35" s="31" t="s">
        <v>71</v>
      </c>
      <c r="C35" s="32">
        <v>7799.0</v>
      </c>
      <c r="D35" s="32" t="s">
        <v>234</v>
      </c>
      <c r="E35" s="34">
        <v>46253.0</v>
      </c>
      <c r="F35" s="61"/>
      <c r="G35" s="63"/>
      <c r="H35" s="39">
        <v>667360.0</v>
      </c>
      <c r="I35" s="42">
        <v>126798.0</v>
      </c>
      <c r="J35" s="39">
        <v>0.0</v>
      </c>
      <c r="K35" s="42">
        <f>H35+I35</f>
        <v>794158</v>
      </c>
      <c r="L35" s="49" t="s">
        <v>62</v>
      </c>
      <c r="M35" s="51" t="s">
        <v>38</v>
      </c>
      <c r="N35" s="49" t="s">
        <v>44</v>
      </c>
      <c r="O35" s="49" t="s">
        <v>235</v>
      </c>
      <c r="P35" s="103" t="s">
        <v>236</v>
      </c>
      <c r="Q35" s="57"/>
      <c r="R35" s="57"/>
      <c r="S35" s="49" t="s">
        <v>66</v>
      </c>
      <c r="T35" s="59"/>
      <c r="U35" s="59"/>
      <c r="V35" s="59"/>
      <c r="W35" s="59"/>
      <c r="X35" s="59"/>
      <c r="Y35" s="59"/>
      <c r="Z35" s="59"/>
      <c r="AA35" s="59"/>
      <c r="AB35" s="59"/>
      <c r="AC35" s="59"/>
    </row>
    <row r="36" ht="22.5" customHeight="1">
      <c r="A36" s="100"/>
      <c r="B36" s="31" t="s">
        <v>71</v>
      </c>
      <c r="C36" s="32" t="s">
        <v>237</v>
      </c>
      <c r="D36" s="32" t="s">
        <v>238</v>
      </c>
      <c r="E36" s="34">
        <v>46253.0</v>
      </c>
      <c r="F36" s="31" t="s">
        <v>212</v>
      </c>
      <c r="G36" s="32" t="s">
        <v>187</v>
      </c>
      <c r="H36" s="88">
        <f t="shared" ref="H36:H39" si="9">K36/1.19</f>
        <v>73512.60504</v>
      </c>
      <c r="I36" s="48">
        <f t="shared" ref="I36:I39" si="10">H36*19%</f>
        <v>13967.39496</v>
      </c>
      <c r="J36" s="39">
        <v>0.0</v>
      </c>
      <c r="K36" s="102">
        <v>87480.0</v>
      </c>
      <c r="L36" s="49" t="s">
        <v>77</v>
      </c>
      <c r="M36" s="51" t="s">
        <v>37</v>
      </c>
      <c r="N36" s="49" t="s">
        <v>44</v>
      </c>
      <c r="O36" s="32" t="s">
        <v>238</v>
      </c>
      <c r="P36" s="56" t="s">
        <v>214</v>
      </c>
      <c r="Q36" s="57"/>
      <c r="R36" s="57"/>
      <c r="S36" s="49"/>
      <c r="T36" s="59"/>
      <c r="U36" s="59"/>
      <c r="V36" s="59"/>
      <c r="W36" s="59"/>
      <c r="X36" s="59"/>
      <c r="Y36" s="59"/>
      <c r="Z36" s="59"/>
      <c r="AA36" s="59"/>
      <c r="AB36" s="59"/>
      <c r="AC36" s="59"/>
    </row>
    <row r="37" ht="22.5" customHeight="1">
      <c r="A37" s="100"/>
      <c r="B37" s="31" t="s">
        <v>71</v>
      </c>
      <c r="C37" s="32" t="s">
        <v>239</v>
      </c>
      <c r="D37" s="32" t="s">
        <v>240</v>
      </c>
      <c r="E37" s="34">
        <v>46251.0</v>
      </c>
      <c r="F37" s="31" t="s">
        <v>212</v>
      </c>
      <c r="G37" s="32" t="s">
        <v>187</v>
      </c>
      <c r="H37" s="88">
        <f t="shared" si="9"/>
        <v>18541.20168</v>
      </c>
      <c r="I37" s="48">
        <f t="shared" si="10"/>
        <v>3522.828319</v>
      </c>
      <c r="J37" s="39">
        <v>0.0</v>
      </c>
      <c r="K37" s="102">
        <v>22064.03</v>
      </c>
      <c r="L37" s="49" t="s">
        <v>77</v>
      </c>
      <c r="M37" s="51" t="s">
        <v>37</v>
      </c>
      <c r="N37" s="49" t="s">
        <v>44</v>
      </c>
      <c r="O37" s="32" t="s">
        <v>241</v>
      </c>
      <c r="P37" s="56" t="s">
        <v>214</v>
      </c>
      <c r="Q37" s="57"/>
      <c r="R37" s="57"/>
      <c r="S37" s="49"/>
      <c r="T37" s="59"/>
      <c r="U37" s="59"/>
      <c r="V37" s="59"/>
      <c r="W37" s="59"/>
      <c r="X37" s="59"/>
      <c r="Y37" s="59"/>
      <c r="Z37" s="59"/>
      <c r="AA37" s="59"/>
      <c r="AB37" s="59"/>
      <c r="AC37" s="59"/>
    </row>
    <row r="38" ht="22.5" customHeight="1">
      <c r="A38" s="100"/>
      <c r="B38" s="31" t="s">
        <v>71</v>
      </c>
      <c r="C38" s="32" t="s">
        <v>242</v>
      </c>
      <c r="D38" s="32" t="s">
        <v>243</v>
      </c>
      <c r="E38" s="34">
        <v>46251.0</v>
      </c>
      <c r="F38" s="31" t="s">
        <v>212</v>
      </c>
      <c r="G38" s="32" t="s">
        <v>187</v>
      </c>
      <c r="H38" s="88">
        <f t="shared" si="9"/>
        <v>71905.88235</v>
      </c>
      <c r="I38" s="48">
        <f t="shared" si="10"/>
        <v>13662.11765</v>
      </c>
      <c r="J38" s="39">
        <v>0.0</v>
      </c>
      <c r="K38" s="102">
        <v>85568.0</v>
      </c>
      <c r="L38" s="49" t="s">
        <v>77</v>
      </c>
      <c r="M38" s="51" t="s">
        <v>37</v>
      </c>
      <c r="N38" s="49" t="s">
        <v>44</v>
      </c>
      <c r="O38" s="32" t="s">
        <v>243</v>
      </c>
      <c r="P38" s="56" t="s">
        <v>214</v>
      </c>
      <c r="Q38" s="57"/>
      <c r="R38" s="57"/>
      <c r="S38" s="49"/>
      <c r="T38" s="59"/>
      <c r="U38" s="59"/>
      <c r="V38" s="59"/>
      <c r="W38" s="59"/>
      <c r="X38" s="59"/>
      <c r="Y38" s="59"/>
      <c r="Z38" s="59"/>
      <c r="AA38" s="59"/>
      <c r="AB38" s="59"/>
      <c r="AC38" s="59"/>
    </row>
    <row r="39" ht="22.5" customHeight="1">
      <c r="A39" s="100"/>
      <c r="B39" s="31" t="s">
        <v>71</v>
      </c>
      <c r="C39" s="32" t="s">
        <v>244</v>
      </c>
      <c r="D39" s="32" t="s">
        <v>245</v>
      </c>
      <c r="E39" s="34">
        <v>46251.0</v>
      </c>
      <c r="F39" s="31" t="s">
        <v>212</v>
      </c>
      <c r="G39" s="32" t="s">
        <v>187</v>
      </c>
      <c r="H39" s="88">
        <f t="shared" si="9"/>
        <v>472.2689076</v>
      </c>
      <c r="I39" s="48">
        <f t="shared" si="10"/>
        <v>89.73109244</v>
      </c>
      <c r="J39" s="39">
        <v>0.0</v>
      </c>
      <c r="K39" s="102">
        <v>562.0</v>
      </c>
      <c r="L39" s="49" t="s">
        <v>77</v>
      </c>
      <c r="M39" s="51" t="s">
        <v>37</v>
      </c>
      <c r="N39" s="49" t="s">
        <v>44</v>
      </c>
      <c r="O39" s="32" t="s">
        <v>245</v>
      </c>
      <c r="P39" s="56" t="s">
        <v>214</v>
      </c>
      <c r="Q39" s="57"/>
      <c r="R39" s="57"/>
      <c r="S39" s="49"/>
      <c r="T39" s="59"/>
      <c r="U39" s="59"/>
      <c r="V39" s="59"/>
      <c r="W39" s="59"/>
      <c r="X39" s="59"/>
      <c r="Y39" s="59"/>
      <c r="Z39" s="59"/>
      <c r="AA39" s="59"/>
      <c r="AB39" s="59"/>
      <c r="AC39" s="59"/>
    </row>
    <row r="40" ht="22.5" customHeight="1">
      <c r="A40" s="28" t="s">
        <v>177</v>
      </c>
      <c r="B40" s="31" t="s">
        <v>71</v>
      </c>
      <c r="C40" s="32" t="s">
        <v>246</v>
      </c>
      <c r="D40" s="32" t="s">
        <v>247</v>
      </c>
      <c r="E40" s="34">
        <v>46248.0</v>
      </c>
      <c r="F40" s="61"/>
      <c r="G40" s="63"/>
      <c r="H40" s="39">
        <v>18320.0</v>
      </c>
      <c r="I40" s="42">
        <v>3500.0</v>
      </c>
      <c r="J40" s="39">
        <v>0.0</v>
      </c>
      <c r="K40" s="48">
        <f t="shared" ref="K40:K41" si="11">H40+I40</f>
        <v>21820</v>
      </c>
      <c r="L40" s="49" t="s">
        <v>77</v>
      </c>
      <c r="M40" s="51" t="s">
        <v>37</v>
      </c>
      <c r="N40" s="49" t="s">
        <v>46</v>
      </c>
      <c r="O40" s="49" t="s">
        <v>248</v>
      </c>
      <c r="P40" s="104" t="s">
        <v>249</v>
      </c>
      <c r="Q40" s="57"/>
      <c r="R40" s="57"/>
      <c r="S40" s="49" t="s">
        <v>66</v>
      </c>
      <c r="T40" s="59"/>
      <c r="U40" s="59"/>
      <c r="V40" s="59"/>
      <c r="W40" s="59"/>
      <c r="X40" s="59"/>
      <c r="Y40" s="59"/>
      <c r="Z40" s="59"/>
      <c r="AA40" s="59"/>
      <c r="AB40" s="59"/>
      <c r="AC40" s="59"/>
    </row>
    <row r="41" ht="22.5" customHeight="1">
      <c r="A41" s="28" t="s">
        <v>148</v>
      </c>
      <c r="B41" s="31" t="s">
        <v>71</v>
      </c>
      <c r="C41" s="32">
        <v>3.45234555E9</v>
      </c>
      <c r="D41" s="32" t="s">
        <v>250</v>
      </c>
      <c r="E41" s="34">
        <v>46248.0</v>
      </c>
      <c r="F41" s="61"/>
      <c r="G41" s="63"/>
      <c r="H41" s="39">
        <v>20991.0</v>
      </c>
      <c r="I41" s="42">
        <v>3989.0</v>
      </c>
      <c r="J41" s="39">
        <v>0.0</v>
      </c>
      <c r="K41" s="48">
        <f t="shared" si="11"/>
        <v>24980</v>
      </c>
      <c r="L41" s="49" t="s">
        <v>63</v>
      </c>
      <c r="M41" s="51" t="s">
        <v>38</v>
      </c>
      <c r="N41" s="49" t="s">
        <v>44</v>
      </c>
      <c r="O41" s="49" t="s">
        <v>251</v>
      </c>
      <c r="P41" s="104" t="s">
        <v>252</v>
      </c>
      <c r="Q41" s="57"/>
      <c r="R41" s="57"/>
      <c r="S41" s="49" t="s">
        <v>66</v>
      </c>
      <c r="T41" s="59"/>
      <c r="U41" s="59"/>
      <c r="V41" s="59"/>
      <c r="W41" s="59"/>
      <c r="X41" s="59"/>
      <c r="Y41" s="59"/>
      <c r="Z41" s="59"/>
      <c r="AA41" s="59"/>
      <c r="AB41" s="59"/>
      <c r="AC41" s="59"/>
    </row>
    <row r="42" ht="22.5" customHeight="1">
      <c r="A42" s="28" t="s">
        <v>148</v>
      </c>
      <c r="B42" s="31" t="s">
        <v>71</v>
      </c>
      <c r="C42" s="32">
        <v>2.2480204E7</v>
      </c>
      <c r="D42" s="32" t="s">
        <v>253</v>
      </c>
      <c r="E42" s="34">
        <v>46247.0</v>
      </c>
      <c r="F42" s="31"/>
      <c r="G42" s="32" t="s">
        <v>52</v>
      </c>
      <c r="H42" s="88">
        <f>K42/1.19</f>
        <v>6714.285714</v>
      </c>
      <c r="I42" s="48">
        <f>H42*19%</f>
        <v>1275.714286</v>
      </c>
      <c r="J42" s="39">
        <v>0.0</v>
      </c>
      <c r="K42" s="42">
        <v>7990.0</v>
      </c>
      <c r="L42" s="49" t="s">
        <v>77</v>
      </c>
      <c r="M42" s="51" t="s">
        <v>37</v>
      </c>
      <c r="N42" s="49" t="s">
        <v>44</v>
      </c>
      <c r="O42" s="49" t="s">
        <v>254</v>
      </c>
      <c r="P42" s="97">
        <v>46236.0</v>
      </c>
      <c r="Q42" s="57"/>
      <c r="R42" s="57"/>
      <c r="S42" s="49"/>
      <c r="T42" s="59"/>
      <c r="U42" s="59"/>
      <c r="V42" s="59"/>
      <c r="W42" s="59"/>
      <c r="X42" s="59"/>
      <c r="Y42" s="59"/>
      <c r="Z42" s="59"/>
      <c r="AA42" s="59"/>
      <c r="AB42" s="59"/>
      <c r="AC42" s="59"/>
    </row>
    <row r="43" ht="22.5" customHeight="1">
      <c r="A43" s="28" t="s">
        <v>177</v>
      </c>
      <c r="B43" s="31" t="s">
        <v>71</v>
      </c>
      <c r="C43" s="32">
        <v>1.49003983E8</v>
      </c>
      <c r="D43" s="32" t="s">
        <v>255</v>
      </c>
      <c r="E43" s="34">
        <v>46247.0</v>
      </c>
      <c r="F43" s="31"/>
      <c r="G43" s="32"/>
      <c r="H43" s="39">
        <v>14457.0</v>
      </c>
      <c r="I43" s="42">
        <v>2748.0</v>
      </c>
      <c r="J43" s="39">
        <v>0.0</v>
      </c>
      <c r="K43" s="48">
        <f t="shared" ref="K43:K44" si="12">H43+I43</f>
        <v>17205</v>
      </c>
      <c r="L43" s="49" t="s">
        <v>61</v>
      </c>
      <c r="M43" s="51" t="s">
        <v>38</v>
      </c>
      <c r="N43" s="49" t="s">
        <v>44</v>
      </c>
      <c r="O43" s="49" t="s">
        <v>256</v>
      </c>
      <c r="P43" s="56" t="s">
        <v>257</v>
      </c>
      <c r="Q43" s="57"/>
      <c r="R43" s="57"/>
      <c r="S43" s="49" t="s">
        <v>66</v>
      </c>
      <c r="T43" s="59"/>
      <c r="U43" s="59"/>
      <c r="V43" s="59"/>
      <c r="W43" s="59"/>
      <c r="X43" s="59"/>
      <c r="Y43" s="59"/>
      <c r="Z43" s="59"/>
      <c r="AA43" s="59"/>
      <c r="AB43" s="59"/>
      <c r="AC43" s="59"/>
    </row>
    <row r="44" ht="22.5" customHeight="1">
      <c r="A44" s="28" t="s">
        <v>177</v>
      </c>
      <c r="B44" s="31" t="s">
        <v>71</v>
      </c>
      <c r="C44" s="32">
        <v>1.49003977E8</v>
      </c>
      <c r="D44" s="32" t="s">
        <v>255</v>
      </c>
      <c r="E44" s="34">
        <v>46247.0</v>
      </c>
      <c r="F44" s="61"/>
      <c r="G44" s="63"/>
      <c r="H44" s="39">
        <v>25882.0</v>
      </c>
      <c r="I44" s="42">
        <v>4918.0</v>
      </c>
      <c r="J44" s="39">
        <v>0.0</v>
      </c>
      <c r="K44" s="48">
        <f t="shared" si="12"/>
        <v>30800</v>
      </c>
      <c r="L44" s="49" t="s">
        <v>61</v>
      </c>
      <c r="M44" s="51" t="s">
        <v>38</v>
      </c>
      <c r="N44" s="49" t="s">
        <v>44</v>
      </c>
      <c r="O44" s="49" t="s">
        <v>258</v>
      </c>
      <c r="P44" s="56" t="s">
        <v>259</v>
      </c>
      <c r="Q44" s="57"/>
      <c r="R44" s="57"/>
      <c r="S44" s="49" t="s">
        <v>66</v>
      </c>
      <c r="T44" s="59"/>
      <c r="U44" s="59"/>
      <c r="V44" s="59"/>
      <c r="W44" s="59"/>
      <c r="X44" s="59"/>
      <c r="Y44" s="59"/>
      <c r="Z44" s="59"/>
      <c r="AA44" s="59"/>
      <c r="AB44" s="59"/>
      <c r="AC44" s="59"/>
    </row>
    <row r="45" ht="22.5" customHeight="1">
      <c r="A45" s="28" t="s">
        <v>177</v>
      </c>
      <c r="B45" s="31" t="s">
        <v>71</v>
      </c>
      <c r="C45" s="32">
        <v>94378.0</v>
      </c>
      <c r="D45" s="32" t="s">
        <v>260</v>
      </c>
      <c r="E45" s="34">
        <v>46246.0</v>
      </c>
      <c r="F45" s="61"/>
      <c r="G45" s="32" t="s">
        <v>52</v>
      </c>
      <c r="H45" s="39">
        <v>20781.0</v>
      </c>
      <c r="I45" s="42">
        <v>3948.0</v>
      </c>
      <c r="J45" s="39">
        <v>0.0</v>
      </c>
      <c r="K45" s="48">
        <f>H45+I45+5271</f>
        <v>30000</v>
      </c>
      <c r="L45" s="49" t="s">
        <v>62</v>
      </c>
      <c r="M45" s="51" t="s">
        <v>38</v>
      </c>
      <c r="N45" s="49" t="s">
        <v>44</v>
      </c>
      <c r="O45" s="49" t="s">
        <v>261</v>
      </c>
      <c r="P45" s="104" t="s">
        <v>262</v>
      </c>
      <c r="Q45" s="57"/>
      <c r="R45" s="57"/>
      <c r="S45" s="49" t="s">
        <v>66</v>
      </c>
      <c r="T45" s="59"/>
      <c r="U45" s="59"/>
      <c r="V45" s="59"/>
      <c r="W45" s="59"/>
      <c r="X45" s="59"/>
      <c r="Y45" s="59"/>
      <c r="Z45" s="59"/>
      <c r="AA45" s="59"/>
      <c r="AB45" s="59"/>
      <c r="AC45" s="59"/>
    </row>
    <row r="46" ht="22.5" customHeight="1">
      <c r="A46" s="28" t="s">
        <v>40</v>
      </c>
      <c r="B46" s="31" t="s">
        <v>48</v>
      </c>
      <c r="C46" s="32">
        <v>76.0</v>
      </c>
      <c r="D46" s="32" t="s">
        <v>263</v>
      </c>
      <c r="E46" s="34">
        <v>46246.0</v>
      </c>
      <c r="F46" s="31" t="s">
        <v>51</v>
      </c>
      <c r="G46" s="32" t="s">
        <v>52</v>
      </c>
      <c r="H46" s="39">
        <v>254250.0</v>
      </c>
      <c r="I46" s="42">
        <v>0.0</v>
      </c>
      <c r="J46" s="39">
        <v>45750.0</v>
      </c>
      <c r="K46" s="48">
        <f>J46+H46</f>
        <v>300000</v>
      </c>
      <c r="L46" s="49" t="s">
        <v>63</v>
      </c>
      <c r="M46" s="51" t="s">
        <v>38</v>
      </c>
      <c r="N46" s="49" t="s">
        <v>46</v>
      </c>
      <c r="O46" s="49" t="s">
        <v>264</v>
      </c>
      <c r="P46" s="56" t="s">
        <v>265</v>
      </c>
      <c r="Q46" s="57"/>
      <c r="R46" s="57"/>
      <c r="S46" s="49" t="s">
        <v>66</v>
      </c>
      <c r="T46" s="59"/>
      <c r="U46" s="59"/>
      <c r="V46" s="59"/>
      <c r="W46" s="59"/>
      <c r="X46" s="59"/>
      <c r="Y46" s="59"/>
      <c r="Z46" s="59"/>
      <c r="AA46" s="59"/>
      <c r="AB46" s="59"/>
      <c r="AC46" s="59"/>
    </row>
    <row r="47" ht="22.5" customHeight="1">
      <c r="A47" s="28" t="s">
        <v>177</v>
      </c>
      <c r="B47" s="31" t="s">
        <v>71</v>
      </c>
      <c r="C47" s="32">
        <v>31437.0</v>
      </c>
      <c r="D47" s="63" t="str">
        <f>D48</f>
        <v>Comercializadora y distribuidora de materiales de construccion Ltda</v>
      </c>
      <c r="E47" s="34">
        <v>46245.0</v>
      </c>
      <c r="F47" s="61"/>
      <c r="G47" s="32" t="s">
        <v>151</v>
      </c>
      <c r="H47" s="39">
        <v>15126.0</v>
      </c>
      <c r="I47" s="42">
        <v>2874.0</v>
      </c>
      <c r="J47" s="39">
        <v>0.0</v>
      </c>
      <c r="K47" s="48">
        <f t="shared" ref="K47:K48" si="13">H47+I47</f>
        <v>18000</v>
      </c>
      <c r="L47" s="49" t="s">
        <v>62</v>
      </c>
      <c r="M47" s="51" t="s">
        <v>38</v>
      </c>
      <c r="N47" s="49" t="s">
        <v>44</v>
      </c>
      <c r="O47" s="49" t="s">
        <v>266</v>
      </c>
      <c r="P47" s="56" t="s">
        <v>267</v>
      </c>
      <c r="Q47" s="57"/>
      <c r="R47" s="57"/>
      <c r="S47" s="49" t="s">
        <v>66</v>
      </c>
      <c r="T47" s="59"/>
      <c r="U47" s="59"/>
      <c r="V47" s="59"/>
      <c r="W47" s="59"/>
      <c r="X47" s="59"/>
      <c r="Y47" s="59"/>
      <c r="Z47" s="59"/>
      <c r="AA47" s="59"/>
      <c r="AB47" s="59"/>
      <c r="AC47" s="59"/>
    </row>
    <row r="48" ht="22.5" customHeight="1">
      <c r="A48" s="28" t="s">
        <v>177</v>
      </c>
      <c r="B48" s="31" t="s">
        <v>71</v>
      </c>
      <c r="C48" s="32">
        <v>31436.0</v>
      </c>
      <c r="D48" s="32" t="s">
        <v>268</v>
      </c>
      <c r="E48" s="34">
        <v>46245.0</v>
      </c>
      <c r="F48" s="61"/>
      <c r="G48" s="32" t="s">
        <v>151</v>
      </c>
      <c r="H48" s="39">
        <v>416891.0</v>
      </c>
      <c r="I48" s="42">
        <v>79209.0</v>
      </c>
      <c r="J48" s="39">
        <v>0.0</v>
      </c>
      <c r="K48" s="48">
        <f t="shared" si="13"/>
        <v>496100</v>
      </c>
      <c r="L48" s="49" t="s">
        <v>62</v>
      </c>
      <c r="M48" s="51" t="s">
        <v>38</v>
      </c>
      <c r="N48" s="49" t="s">
        <v>44</v>
      </c>
      <c r="O48" s="49" t="s">
        <v>269</v>
      </c>
      <c r="P48" s="56" t="s">
        <v>270</v>
      </c>
      <c r="Q48" s="57"/>
      <c r="R48" s="57"/>
      <c r="S48" s="49" t="s">
        <v>66</v>
      </c>
      <c r="T48" s="59"/>
      <c r="U48" s="59"/>
      <c r="V48" s="59"/>
      <c r="W48" s="59"/>
      <c r="X48" s="59"/>
      <c r="Y48" s="59"/>
      <c r="Z48" s="59"/>
      <c r="AA48" s="59"/>
      <c r="AB48" s="59"/>
      <c r="AC48" s="59"/>
    </row>
    <row r="49" ht="22.5" customHeight="1">
      <c r="A49" s="100"/>
      <c r="B49" s="31" t="s">
        <v>71</v>
      </c>
      <c r="C49" s="32" t="s">
        <v>271</v>
      </c>
      <c r="D49" s="32" t="s">
        <v>272</v>
      </c>
      <c r="E49" s="34">
        <v>46245.0</v>
      </c>
      <c r="F49" s="31" t="s">
        <v>212</v>
      </c>
      <c r="G49" s="32" t="s">
        <v>187</v>
      </c>
      <c r="H49" s="88">
        <f t="shared" ref="H49:H50" si="14">K49/1.19</f>
        <v>1565.87395</v>
      </c>
      <c r="I49" s="48">
        <f t="shared" ref="I49:I50" si="15">H49*19%</f>
        <v>297.5160504</v>
      </c>
      <c r="J49" s="39">
        <v>0.0</v>
      </c>
      <c r="K49" s="102">
        <v>1863.39</v>
      </c>
      <c r="L49" s="49" t="s">
        <v>77</v>
      </c>
      <c r="M49" s="51" t="s">
        <v>37</v>
      </c>
      <c r="N49" s="49" t="s">
        <v>44</v>
      </c>
      <c r="O49" s="32" t="s">
        <v>273</v>
      </c>
      <c r="P49" s="56" t="s">
        <v>214</v>
      </c>
      <c r="Q49" s="57"/>
      <c r="R49" s="57"/>
      <c r="S49" s="49"/>
      <c r="T49" s="59"/>
      <c r="U49" s="59"/>
      <c r="V49" s="59"/>
      <c r="W49" s="59"/>
      <c r="X49" s="59"/>
      <c r="Y49" s="59"/>
      <c r="Z49" s="59"/>
      <c r="AA49" s="59"/>
      <c r="AB49" s="59"/>
      <c r="AC49" s="59"/>
    </row>
    <row r="50" ht="22.5" customHeight="1">
      <c r="A50" s="100"/>
      <c r="B50" s="31" t="s">
        <v>71</v>
      </c>
      <c r="C50" s="32" t="s">
        <v>274</v>
      </c>
      <c r="D50" s="32" t="s">
        <v>245</v>
      </c>
      <c r="E50" s="34">
        <v>46245.0</v>
      </c>
      <c r="F50" s="31" t="s">
        <v>212</v>
      </c>
      <c r="G50" s="32" t="s">
        <v>187</v>
      </c>
      <c r="H50" s="88">
        <f t="shared" si="14"/>
        <v>39.49579832</v>
      </c>
      <c r="I50" s="48">
        <f t="shared" si="15"/>
        <v>7.504201681</v>
      </c>
      <c r="J50" s="39">
        <v>0.0</v>
      </c>
      <c r="K50" s="102">
        <v>47.0</v>
      </c>
      <c r="L50" s="49" t="s">
        <v>77</v>
      </c>
      <c r="M50" s="51" t="s">
        <v>37</v>
      </c>
      <c r="N50" s="49" t="s">
        <v>44</v>
      </c>
      <c r="O50" s="32" t="s">
        <v>245</v>
      </c>
      <c r="P50" s="56" t="s">
        <v>214</v>
      </c>
      <c r="Q50" s="57"/>
      <c r="R50" s="57"/>
      <c r="S50" s="49"/>
      <c r="T50" s="59"/>
      <c r="U50" s="59"/>
      <c r="V50" s="59"/>
      <c r="W50" s="59"/>
      <c r="X50" s="59"/>
      <c r="Y50" s="59"/>
      <c r="Z50" s="59"/>
      <c r="AA50" s="59"/>
      <c r="AB50" s="59"/>
      <c r="AC50" s="59"/>
    </row>
    <row r="51" ht="22.5" customHeight="1">
      <c r="A51" s="28" t="s">
        <v>69</v>
      </c>
      <c r="B51" s="31" t="s">
        <v>71</v>
      </c>
      <c r="C51" s="105" t="s">
        <v>275</v>
      </c>
      <c r="D51" s="32" t="s">
        <v>276</v>
      </c>
      <c r="E51" s="34">
        <v>46244.0</v>
      </c>
      <c r="F51" s="61"/>
      <c r="G51" s="63"/>
      <c r="H51" s="39">
        <v>1504.0</v>
      </c>
      <c r="I51" s="42">
        <v>286.0</v>
      </c>
      <c r="J51" s="39">
        <v>0.0</v>
      </c>
      <c r="K51" s="42">
        <f t="shared" ref="K51:K54" si="16">H51+I51</f>
        <v>1790</v>
      </c>
      <c r="L51" s="49" t="s">
        <v>77</v>
      </c>
      <c r="M51" s="51" t="s">
        <v>37</v>
      </c>
      <c r="N51" s="49" t="s">
        <v>46</v>
      </c>
      <c r="O51" s="49" t="s">
        <v>277</v>
      </c>
      <c r="P51" s="104" t="s">
        <v>278</v>
      </c>
      <c r="Q51" s="57"/>
      <c r="R51" s="57"/>
      <c r="S51" s="49" t="s">
        <v>66</v>
      </c>
      <c r="T51" s="59"/>
      <c r="U51" s="59"/>
      <c r="V51" s="59"/>
      <c r="W51" s="59"/>
      <c r="X51" s="59"/>
      <c r="Y51" s="59"/>
      <c r="Z51" s="59"/>
      <c r="AA51" s="59"/>
      <c r="AB51" s="59"/>
      <c r="AC51" s="59"/>
    </row>
    <row r="52" ht="22.5" customHeight="1">
      <c r="A52" s="28" t="s">
        <v>177</v>
      </c>
      <c r="B52" s="31" t="s">
        <v>71</v>
      </c>
      <c r="C52" s="32">
        <v>1.48957669E8</v>
      </c>
      <c r="D52" s="32" t="s">
        <v>279</v>
      </c>
      <c r="E52" s="34">
        <v>46241.0</v>
      </c>
      <c r="F52" s="61"/>
      <c r="G52" s="63"/>
      <c r="H52" s="39">
        <v>4184.0</v>
      </c>
      <c r="I52" s="42">
        <v>796.0</v>
      </c>
      <c r="J52" s="39">
        <v>0.0</v>
      </c>
      <c r="K52" s="48">
        <f t="shared" si="16"/>
        <v>4980</v>
      </c>
      <c r="L52" s="49" t="s">
        <v>61</v>
      </c>
      <c r="M52" s="51" t="s">
        <v>38</v>
      </c>
      <c r="N52" s="49" t="s">
        <v>44</v>
      </c>
      <c r="O52" s="49" t="s">
        <v>280</v>
      </c>
      <c r="P52" s="56" t="s">
        <v>281</v>
      </c>
      <c r="Q52" s="57"/>
      <c r="R52" s="57"/>
      <c r="S52" s="49" t="s">
        <v>66</v>
      </c>
      <c r="T52" s="59"/>
      <c r="U52" s="59"/>
      <c r="V52" s="59"/>
      <c r="W52" s="59"/>
      <c r="X52" s="59"/>
      <c r="Y52" s="59"/>
      <c r="Z52" s="59"/>
      <c r="AA52" s="59"/>
      <c r="AB52" s="59"/>
      <c r="AC52" s="59"/>
    </row>
    <row r="53" ht="22.5" customHeight="1">
      <c r="A53" s="28" t="s">
        <v>177</v>
      </c>
      <c r="B53" s="31" t="s">
        <v>71</v>
      </c>
      <c r="C53" s="32">
        <v>1.48957667E8</v>
      </c>
      <c r="D53" s="32" t="s">
        <v>279</v>
      </c>
      <c r="E53" s="34">
        <v>46241.0</v>
      </c>
      <c r="F53" s="61"/>
      <c r="G53" s="63"/>
      <c r="H53" s="39">
        <v>2512.0</v>
      </c>
      <c r="I53" s="42">
        <v>478.0</v>
      </c>
      <c r="J53" s="39">
        <v>0.0</v>
      </c>
      <c r="K53" s="48">
        <f t="shared" si="16"/>
        <v>2990</v>
      </c>
      <c r="L53" s="49" t="s">
        <v>61</v>
      </c>
      <c r="M53" s="51" t="s">
        <v>38</v>
      </c>
      <c r="N53" s="49" t="s">
        <v>44</v>
      </c>
      <c r="O53" s="49" t="s">
        <v>282</v>
      </c>
      <c r="P53" s="56" t="s">
        <v>283</v>
      </c>
      <c r="Q53" s="57"/>
      <c r="R53" s="57"/>
      <c r="S53" s="49" t="s">
        <v>66</v>
      </c>
      <c r="T53" s="59"/>
      <c r="U53" s="59"/>
      <c r="V53" s="59"/>
      <c r="W53" s="59"/>
      <c r="X53" s="59"/>
      <c r="Y53" s="59"/>
      <c r="Z53" s="59"/>
      <c r="AA53" s="59"/>
      <c r="AB53" s="59"/>
      <c r="AC53" s="59"/>
    </row>
    <row r="54" ht="22.5" customHeight="1">
      <c r="A54" s="28" t="s">
        <v>69</v>
      </c>
      <c r="B54" s="31" t="s">
        <v>71</v>
      </c>
      <c r="C54" s="32">
        <v>8.78984895E8</v>
      </c>
      <c r="D54" s="32" t="s">
        <v>284</v>
      </c>
      <c r="E54" s="34">
        <v>46241.0</v>
      </c>
      <c r="F54" s="61"/>
      <c r="G54" s="32" t="s">
        <v>52</v>
      </c>
      <c r="H54" s="39">
        <v>3361.0</v>
      </c>
      <c r="I54" s="42">
        <v>639.0</v>
      </c>
      <c r="J54" s="39">
        <v>0.0</v>
      </c>
      <c r="K54" s="48">
        <f t="shared" si="16"/>
        <v>4000</v>
      </c>
      <c r="L54" s="49" t="s">
        <v>61</v>
      </c>
      <c r="M54" s="51" t="s">
        <v>38</v>
      </c>
      <c r="N54" s="49" t="s">
        <v>44</v>
      </c>
      <c r="O54" s="49" t="s">
        <v>285</v>
      </c>
      <c r="P54" s="56" t="s">
        <v>286</v>
      </c>
      <c r="Q54" s="57"/>
      <c r="R54" s="57"/>
      <c r="S54" s="49" t="s">
        <v>66</v>
      </c>
      <c r="T54" s="59"/>
      <c r="U54" s="59"/>
      <c r="V54" s="59"/>
      <c r="W54" s="59"/>
      <c r="X54" s="59"/>
      <c r="Y54" s="59"/>
      <c r="Z54" s="59"/>
      <c r="AA54" s="59"/>
      <c r="AB54" s="59"/>
      <c r="AC54" s="59"/>
    </row>
    <row r="55" ht="22.5" customHeight="1">
      <c r="A55" s="28" t="s">
        <v>40</v>
      </c>
      <c r="B55" s="31" t="s">
        <v>48</v>
      </c>
      <c r="C55" s="32">
        <v>1.0</v>
      </c>
      <c r="D55" s="32" t="s">
        <v>287</v>
      </c>
      <c r="E55" s="34">
        <v>46241.0</v>
      </c>
      <c r="F55" s="31" t="s">
        <v>51</v>
      </c>
      <c r="G55" s="32" t="s">
        <v>52</v>
      </c>
      <c r="H55" s="39">
        <v>80512.0</v>
      </c>
      <c r="I55" s="42">
        <v>0.0</v>
      </c>
      <c r="J55" s="39">
        <v>14488.0</v>
      </c>
      <c r="K55" s="48">
        <f>H55+J55</f>
        <v>95000</v>
      </c>
      <c r="L55" s="49" t="s">
        <v>62</v>
      </c>
      <c r="M55" s="51" t="s">
        <v>38</v>
      </c>
      <c r="N55" s="49" t="s">
        <v>46</v>
      </c>
      <c r="O55" s="49" t="s">
        <v>288</v>
      </c>
      <c r="P55" s="56" t="s">
        <v>289</v>
      </c>
      <c r="Q55" s="57"/>
      <c r="R55" s="57"/>
      <c r="S55" s="49" t="s">
        <v>66</v>
      </c>
      <c r="T55" s="59"/>
      <c r="U55" s="59"/>
      <c r="V55" s="59"/>
      <c r="W55" s="59"/>
      <c r="X55" s="59"/>
      <c r="Y55" s="59"/>
      <c r="Z55" s="59"/>
      <c r="AA55" s="59"/>
      <c r="AB55" s="59"/>
      <c r="AC55" s="59"/>
    </row>
    <row r="56" ht="22.5" customHeight="1">
      <c r="A56" s="28" t="s">
        <v>148</v>
      </c>
      <c r="B56" s="31" t="s">
        <v>71</v>
      </c>
      <c r="C56" s="32">
        <v>1208397.0</v>
      </c>
      <c r="D56" s="32" t="s">
        <v>290</v>
      </c>
      <c r="E56" s="34">
        <v>46240.0</v>
      </c>
      <c r="F56" s="61"/>
      <c r="G56" s="32" t="s">
        <v>52</v>
      </c>
      <c r="H56" s="39">
        <v>13082.0</v>
      </c>
      <c r="I56" s="42">
        <v>2486.0</v>
      </c>
      <c r="J56" s="39">
        <v>0.0</v>
      </c>
      <c r="K56" s="48">
        <f>H56+I56-2467</f>
        <v>13101</v>
      </c>
      <c r="L56" s="49" t="s">
        <v>77</v>
      </c>
      <c r="M56" s="51" t="s">
        <v>37</v>
      </c>
      <c r="N56" s="49" t="s">
        <v>44</v>
      </c>
      <c r="O56" s="32" t="s">
        <v>291</v>
      </c>
      <c r="P56" s="104" t="s">
        <v>292</v>
      </c>
      <c r="Q56" s="57"/>
      <c r="R56" s="57"/>
      <c r="S56" s="49"/>
      <c r="T56" s="59"/>
      <c r="U56" s="59"/>
      <c r="V56" s="59"/>
      <c r="W56" s="59"/>
      <c r="X56" s="59"/>
      <c r="Y56" s="59"/>
      <c r="Z56" s="59"/>
      <c r="AA56" s="59"/>
      <c r="AB56" s="59"/>
      <c r="AC56" s="59"/>
    </row>
    <row r="57" ht="22.5" customHeight="1">
      <c r="A57" s="28" t="s">
        <v>177</v>
      </c>
      <c r="B57" s="31" t="s">
        <v>71</v>
      </c>
      <c r="C57" s="32">
        <v>94002.0</v>
      </c>
      <c r="D57" s="32" t="s">
        <v>260</v>
      </c>
      <c r="E57" s="34">
        <v>46240.0</v>
      </c>
      <c r="F57" s="61"/>
      <c r="G57" s="32" t="s">
        <v>52</v>
      </c>
      <c r="H57" s="39">
        <v>17318.0</v>
      </c>
      <c r="I57" s="42">
        <v>3290.0</v>
      </c>
      <c r="J57" s="39">
        <v>0.0</v>
      </c>
      <c r="K57" s="48">
        <f>H57+I57+4392</f>
        <v>25000</v>
      </c>
      <c r="L57" s="49" t="s">
        <v>62</v>
      </c>
      <c r="M57" s="51" t="s">
        <v>38</v>
      </c>
      <c r="N57" s="49" t="s">
        <v>44</v>
      </c>
      <c r="O57" s="49" t="s">
        <v>261</v>
      </c>
      <c r="P57" s="104" t="s">
        <v>293</v>
      </c>
      <c r="Q57" s="57"/>
      <c r="R57" s="57"/>
      <c r="S57" s="49" t="s">
        <v>66</v>
      </c>
      <c r="T57" s="59"/>
      <c r="U57" s="59"/>
      <c r="V57" s="59"/>
      <c r="W57" s="59"/>
      <c r="X57" s="59"/>
      <c r="Y57" s="59"/>
      <c r="Z57" s="59"/>
      <c r="AA57" s="59"/>
      <c r="AB57" s="59"/>
      <c r="AC57" s="59"/>
    </row>
    <row r="58" ht="22.5" customHeight="1">
      <c r="A58" s="28" t="s">
        <v>177</v>
      </c>
      <c r="B58" s="31" t="s">
        <v>71</v>
      </c>
      <c r="C58" s="32">
        <v>2.0398696E7</v>
      </c>
      <c r="D58" s="32" t="s">
        <v>294</v>
      </c>
      <c r="E58" s="34">
        <v>46240.0</v>
      </c>
      <c r="F58" s="61"/>
      <c r="G58" s="63"/>
      <c r="H58" s="39">
        <v>77319.0</v>
      </c>
      <c r="I58" s="42">
        <v>14691.0</v>
      </c>
      <c r="J58" s="39">
        <v>0.0</v>
      </c>
      <c r="K58" s="48">
        <f>H58+I58</f>
        <v>92010</v>
      </c>
      <c r="L58" s="49" t="s">
        <v>61</v>
      </c>
      <c r="M58" s="51" t="s">
        <v>38</v>
      </c>
      <c r="N58" s="49" t="s">
        <v>44</v>
      </c>
      <c r="O58" s="49" t="s">
        <v>235</v>
      </c>
      <c r="P58" s="95" t="s">
        <v>295</v>
      </c>
      <c r="Q58" s="57"/>
      <c r="R58" s="57"/>
      <c r="S58" s="49" t="s">
        <v>66</v>
      </c>
      <c r="T58" s="59"/>
      <c r="U58" s="59"/>
      <c r="V58" s="59"/>
      <c r="W58" s="59"/>
      <c r="X58" s="59"/>
      <c r="Y58" s="59"/>
      <c r="Z58" s="59"/>
      <c r="AA58" s="59"/>
      <c r="AB58" s="59"/>
      <c r="AC58" s="59"/>
    </row>
    <row r="59" ht="22.5" customHeight="1">
      <c r="A59" s="28" t="s">
        <v>177</v>
      </c>
      <c r="B59" s="31" t="s">
        <v>71</v>
      </c>
      <c r="C59" s="32">
        <v>2.1653319E7</v>
      </c>
      <c r="D59" s="32" t="s">
        <v>296</v>
      </c>
      <c r="E59" s="34">
        <v>46239.0</v>
      </c>
      <c r="F59" s="61"/>
      <c r="G59" s="63"/>
      <c r="H59" s="98" t="s">
        <v>72</v>
      </c>
      <c r="I59" s="99" t="s">
        <v>72</v>
      </c>
      <c r="J59" s="106"/>
      <c r="K59" s="99" t="s">
        <v>297</v>
      </c>
      <c r="L59" s="49" t="s">
        <v>77</v>
      </c>
      <c r="M59" s="51" t="s">
        <v>37</v>
      </c>
      <c r="N59" s="49" t="s">
        <v>46</v>
      </c>
      <c r="O59" s="49" t="s">
        <v>298</v>
      </c>
      <c r="P59" s="56" t="s">
        <v>299</v>
      </c>
      <c r="Q59" s="57"/>
      <c r="R59" s="57"/>
      <c r="S59" s="49" t="s">
        <v>66</v>
      </c>
      <c r="T59" s="59"/>
      <c r="U59" s="59"/>
      <c r="V59" s="59"/>
      <c r="W59" s="59"/>
      <c r="X59" s="59"/>
      <c r="Y59" s="59"/>
      <c r="Z59" s="59"/>
      <c r="AA59" s="59"/>
      <c r="AB59" s="59"/>
      <c r="AC59" s="59"/>
    </row>
    <row r="60" ht="22.5" customHeight="1">
      <c r="A60" s="28" t="s">
        <v>177</v>
      </c>
      <c r="B60" s="31" t="s">
        <v>71</v>
      </c>
      <c r="C60" s="32">
        <v>236.0</v>
      </c>
      <c r="D60" s="32" t="s">
        <v>300</v>
      </c>
      <c r="E60" s="34">
        <v>46239.0</v>
      </c>
      <c r="F60" s="61"/>
      <c r="G60" s="63"/>
      <c r="H60" s="39">
        <v>67059.0</v>
      </c>
      <c r="I60" s="42">
        <v>12741.0</v>
      </c>
      <c r="J60" s="39">
        <v>0.0</v>
      </c>
      <c r="K60" s="48">
        <f>H60+I60</f>
        <v>79800</v>
      </c>
      <c r="L60" s="49" t="s">
        <v>62</v>
      </c>
      <c r="M60" s="51" t="s">
        <v>38</v>
      </c>
      <c r="N60" s="49" t="s">
        <v>44</v>
      </c>
      <c r="O60" s="49" t="s">
        <v>301</v>
      </c>
      <c r="P60" s="56" t="s">
        <v>302</v>
      </c>
      <c r="Q60" s="57"/>
      <c r="R60" s="57"/>
      <c r="S60" s="49" t="s">
        <v>66</v>
      </c>
      <c r="T60" s="59"/>
      <c r="U60" s="59"/>
      <c r="V60" s="59"/>
      <c r="W60" s="59"/>
      <c r="X60" s="59"/>
      <c r="Y60" s="59"/>
      <c r="Z60" s="59"/>
      <c r="AA60" s="59"/>
      <c r="AB60" s="59"/>
      <c r="AC60" s="59"/>
    </row>
    <row r="61" ht="22.5" customHeight="1">
      <c r="A61" s="100"/>
      <c r="B61" s="31" t="s">
        <v>71</v>
      </c>
      <c r="C61" s="32" t="s">
        <v>303</v>
      </c>
      <c r="D61" s="32" t="s">
        <v>304</v>
      </c>
      <c r="E61" s="34">
        <v>46239.0</v>
      </c>
      <c r="F61" s="31" t="s">
        <v>212</v>
      </c>
      <c r="G61" s="32" t="s">
        <v>187</v>
      </c>
      <c r="H61" s="88">
        <f t="shared" ref="H61:H62" si="17">K61/1.19</f>
        <v>68754.62185</v>
      </c>
      <c r="I61" s="48">
        <f t="shared" ref="I61:I62" si="18">H61*19%</f>
        <v>13063.37815</v>
      </c>
      <c r="J61" s="39">
        <v>0.0</v>
      </c>
      <c r="K61" s="102">
        <v>81818.0</v>
      </c>
      <c r="L61" s="49" t="s">
        <v>77</v>
      </c>
      <c r="M61" s="51" t="s">
        <v>37</v>
      </c>
      <c r="N61" s="49" t="s">
        <v>44</v>
      </c>
      <c r="O61" s="32" t="s">
        <v>304</v>
      </c>
      <c r="P61" s="56" t="s">
        <v>214</v>
      </c>
      <c r="Q61" s="56" t="s">
        <v>305</v>
      </c>
      <c r="R61" s="57"/>
      <c r="S61" s="49"/>
      <c r="T61" s="59"/>
      <c r="U61" s="59"/>
      <c r="V61" s="59"/>
      <c r="W61" s="59"/>
      <c r="X61" s="59"/>
      <c r="Y61" s="59"/>
      <c r="Z61" s="59"/>
      <c r="AA61" s="59"/>
      <c r="AB61" s="59"/>
      <c r="AC61" s="59"/>
    </row>
    <row r="62" ht="22.5" customHeight="1">
      <c r="A62" s="100"/>
      <c r="B62" s="31" t="s">
        <v>71</v>
      </c>
      <c r="C62" s="32" t="s">
        <v>306</v>
      </c>
      <c r="D62" s="32" t="s">
        <v>307</v>
      </c>
      <c r="E62" s="34">
        <v>46239.0</v>
      </c>
      <c r="F62" s="31" t="s">
        <v>212</v>
      </c>
      <c r="G62" s="32" t="s">
        <v>187</v>
      </c>
      <c r="H62" s="88">
        <f t="shared" si="17"/>
        <v>216400</v>
      </c>
      <c r="I62" s="48">
        <f t="shared" si="18"/>
        <v>41116</v>
      </c>
      <c r="J62" s="39">
        <v>0.0</v>
      </c>
      <c r="K62" s="102">
        <v>257516.0</v>
      </c>
      <c r="L62" s="49" t="s">
        <v>77</v>
      </c>
      <c r="M62" s="51" t="s">
        <v>36</v>
      </c>
      <c r="N62" s="49" t="s">
        <v>44</v>
      </c>
      <c r="O62" s="32" t="s">
        <v>307</v>
      </c>
      <c r="P62" s="56" t="s">
        <v>305</v>
      </c>
      <c r="Q62" s="57"/>
      <c r="R62" s="57"/>
      <c r="S62" s="49"/>
      <c r="T62" s="59"/>
      <c r="U62" s="59"/>
      <c r="V62" s="59"/>
      <c r="W62" s="59"/>
      <c r="X62" s="59"/>
      <c r="Y62" s="59"/>
      <c r="Z62" s="59"/>
      <c r="AA62" s="59"/>
      <c r="AB62" s="59"/>
      <c r="AC62" s="59"/>
    </row>
    <row r="63" ht="22.5" customHeight="1">
      <c r="A63" s="28" t="s">
        <v>177</v>
      </c>
      <c r="B63" s="31" t="s">
        <v>71</v>
      </c>
      <c r="C63" s="32">
        <v>93853.0</v>
      </c>
      <c r="D63" s="32" t="s">
        <v>198</v>
      </c>
      <c r="E63" s="34">
        <v>46238.0</v>
      </c>
      <c r="F63" s="61"/>
      <c r="G63" s="32" t="s">
        <v>52</v>
      </c>
      <c r="H63" s="39">
        <v>13783.0</v>
      </c>
      <c r="I63" s="42">
        <v>2619.0</v>
      </c>
      <c r="J63" s="39">
        <v>0.0</v>
      </c>
      <c r="K63" s="48">
        <f>H63+I63+3598</f>
        <v>20000</v>
      </c>
      <c r="L63" s="49" t="s">
        <v>62</v>
      </c>
      <c r="M63" s="51" t="s">
        <v>38</v>
      </c>
      <c r="N63" s="49" t="s">
        <v>44</v>
      </c>
      <c r="O63" s="49" t="s">
        <v>308</v>
      </c>
      <c r="P63" s="56" t="s">
        <v>309</v>
      </c>
      <c r="Q63" s="57"/>
      <c r="R63" s="57"/>
      <c r="S63" s="49" t="s">
        <v>66</v>
      </c>
      <c r="T63" s="59"/>
      <c r="U63" s="59"/>
      <c r="V63" s="59"/>
      <c r="W63" s="59"/>
      <c r="X63" s="59"/>
      <c r="Y63" s="59"/>
      <c r="Z63" s="59"/>
      <c r="AA63" s="59"/>
      <c r="AB63" s="59"/>
      <c r="AC63" s="59"/>
    </row>
    <row r="64" ht="22.5" customHeight="1">
      <c r="A64" s="28" t="s">
        <v>310</v>
      </c>
      <c r="B64" s="31" t="s">
        <v>71</v>
      </c>
      <c r="C64" s="32">
        <v>4.5937782E7</v>
      </c>
      <c r="D64" s="32" t="s">
        <v>311</v>
      </c>
      <c r="E64" s="34">
        <v>46237.0</v>
      </c>
      <c r="F64" s="31" t="s">
        <v>212</v>
      </c>
      <c r="G64" s="32" t="s">
        <v>52</v>
      </c>
      <c r="H64" s="88">
        <f t="shared" ref="H64:H65" si="19">K64/1.19</f>
        <v>333679.8319</v>
      </c>
      <c r="I64" s="48">
        <f t="shared" ref="I64:I65" si="20">H64*19%</f>
        <v>63399.16807</v>
      </c>
      <c r="J64" s="39">
        <v>0.0</v>
      </c>
      <c r="K64" s="42">
        <v>397079.0</v>
      </c>
      <c r="L64" s="49" t="s">
        <v>62</v>
      </c>
      <c r="M64" s="51" t="s">
        <v>38</v>
      </c>
      <c r="N64" s="49" t="s">
        <v>46</v>
      </c>
      <c r="O64" s="49" t="s">
        <v>312</v>
      </c>
      <c r="P64" s="56" t="s">
        <v>313</v>
      </c>
      <c r="Q64" s="57"/>
      <c r="R64" s="57"/>
      <c r="S64" s="49" t="s">
        <v>66</v>
      </c>
      <c r="T64" s="59"/>
      <c r="U64" s="59"/>
      <c r="V64" s="59"/>
      <c r="W64" s="59"/>
      <c r="X64" s="59"/>
      <c r="Y64" s="59"/>
      <c r="Z64" s="59"/>
      <c r="AA64" s="59"/>
      <c r="AB64" s="59"/>
      <c r="AC64" s="59"/>
    </row>
    <row r="65" ht="22.5" customHeight="1">
      <c r="A65" s="100"/>
      <c r="B65" s="31" t="s">
        <v>71</v>
      </c>
      <c r="C65" s="32" t="s">
        <v>314</v>
      </c>
      <c r="D65" s="32" t="s">
        <v>315</v>
      </c>
      <c r="E65" s="34">
        <v>46235.0</v>
      </c>
      <c r="F65" s="31" t="s">
        <v>212</v>
      </c>
      <c r="G65" s="32" t="s">
        <v>187</v>
      </c>
      <c r="H65" s="88">
        <f t="shared" si="19"/>
        <v>6046.218487</v>
      </c>
      <c r="I65" s="48">
        <f t="shared" si="20"/>
        <v>1148.781513</v>
      </c>
      <c r="J65" s="39">
        <v>0.0</v>
      </c>
      <c r="K65" s="102">
        <v>7195.0</v>
      </c>
      <c r="L65" s="49" t="s">
        <v>77</v>
      </c>
      <c r="M65" s="51" t="s">
        <v>37</v>
      </c>
      <c r="N65" s="49" t="s">
        <v>44</v>
      </c>
      <c r="O65" s="49" t="s">
        <v>315</v>
      </c>
      <c r="P65" s="56" t="s">
        <v>305</v>
      </c>
      <c r="Q65" s="57"/>
      <c r="R65" s="57"/>
      <c r="S65" s="49"/>
      <c r="T65" s="59"/>
      <c r="U65" s="59"/>
      <c r="V65" s="59"/>
      <c r="W65" s="59"/>
      <c r="X65" s="59"/>
      <c r="Y65" s="59"/>
      <c r="Z65" s="59"/>
      <c r="AA65" s="59"/>
      <c r="AB65" s="59"/>
      <c r="AC65" s="59"/>
    </row>
    <row r="66" ht="22.5" customHeight="1">
      <c r="A66" s="28" t="s">
        <v>177</v>
      </c>
      <c r="B66" s="31" t="s">
        <v>71</v>
      </c>
      <c r="C66" s="32">
        <v>2.0387804E7</v>
      </c>
      <c r="D66" s="32" t="s">
        <v>294</v>
      </c>
      <c r="E66" s="34">
        <v>46234.0</v>
      </c>
      <c r="F66" s="61"/>
      <c r="G66" s="63"/>
      <c r="H66" s="39">
        <v>25639.0</v>
      </c>
      <c r="I66" s="42">
        <v>4871.0</v>
      </c>
      <c r="J66" s="39">
        <v>0.0</v>
      </c>
      <c r="K66" s="48">
        <f>H66+I66</f>
        <v>30510</v>
      </c>
      <c r="L66" s="49" t="s">
        <v>61</v>
      </c>
      <c r="M66" s="51" t="s">
        <v>38</v>
      </c>
      <c r="N66" s="49" t="s">
        <v>44</v>
      </c>
      <c r="O66" s="49" t="s">
        <v>235</v>
      </c>
      <c r="P66" s="56" t="s">
        <v>316</v>
      </c>
      <c r="Q66" s="57"/>
      <c r="R66" s="57"/>
      <c r="S66" s="49" t="s">
        <v>66</v>
      </c>
      <c r="T66" s="59"/>
      <c r="U66" s="59"/>
      <c r="V66" s="59"/>
      <c r="W66" s="59"/>
      <c r="X66" s="59"/>
      <c r="Y66" s="59"/>
      <c r="Z66" s="59"/>
      <c r="AA66" s="59"/>
      <c r="AB66" s="59"/>
      <c r="AC66" s="59"/>
    </row>
    <row r="67" ht="22.5" customHeight="1">
      <c r="A67" s="28" t="s">
        <v>40</v>
      </c>
      <c r="B67" s="31" t="s">
        <v>48</v>
      </c>
      <c r="C67" s="32">
        <v>6.0</v>
      </c>
      <c r="D67" s="32" t="s">
        <v>317</v>
      </c>
      <c r="E67" s="34">
        <v>46234.0</v>
      </c>
      <c r="F67" s="31" t="s">
        <v>51</v>
      </c>
      <c r="G67" s="32" t="s">
        <v>52</v>
      </c>
      <c r="H67" s="39">
        <v>650000.0</v>
      </c>
      <c r="I67" s="42">
        <v>0.0</v>
      </c>
      <c r="J67" s="39">
        <v>116962.0</v>
      </c>
      <c r="K67" s="48">
        <f t="shared" ref="K67:K68" si="21">H67+J67</f>
        <v>766962</v>
      </c>
      <c r="L67" s="49" t="s">
        <v>77</v>
      </c>
      <c r="M67" s="51" t="s">
        <v>37</v>
      </c>
      <c r="N67" s="49" t="s">
        <v>46</v>
      </c>
      <c r="O67" s="49" t="s">
        <v>318</v>
      </c>
      <c r="P67" s="56" t="s">
        <v>319</v>
      </c>
      <c r="Q67" s="57"/>
      <c r="R67" s="57"/>
      <c r="S67" s="49" t="s">
        <v>66</v>
      </c>
      <c r="T67" s="59"/>
      <c r="U67" s="59"/>
      <c r="V67" s="59"/>
      <c r="W67" s="59"/>
      <c r="X67" s="59"/>
      <c r="Y67" s="59"/>
      <c r="Z67" s="59"/>
      <c r="AA67" s="59"/>
      <c r="AB67" s="59"/>
      <c r="AC67" s="59"/>
    </row>
    <row r="68" ht="22.5" customHeight="1">
      <c r="A68" s="28" t="s">
        <v>40</v>
      </c>
      <c r="B68" s="31" t="s">
        <v>48</v>
      </c>
      <c r="C68" s="32">
        <v>91.0</v>
      </c>
      <c r="D68" s="32" t="s">
        <v>320</v>
      </c>
      <c r="E68" s="34">
        <v>46233.0</v>
      </c>
      <c r="F68" s="31" t="s">
        <v>51</v>
      </c>
      <c r="G68" s="32" t="s">
        <v>52</v>
      </c>
      <c r="H68" s="39">
        <v>300000.0</v>
      </c>
      <c r="I68" s="42">
        <v>0.0</v>
      </c>
      <c r="J68" s="39">
        <v>53982.0</v>
      </c>
      <c r="K68" s="48">
        <f t="shared" si="21"/>
        <v>353982</v>
      </c>
      <c r="L68" s="49" t="s">
        <v>54</v>
      </c>
      <c r="M68" s="51" t="s">
        <v>38</v>
      </c>
      <c r="N68" s="49" t="s">
        <v>46</v>
      </c>
      <c r="O68" s="49" t="s">
        <v>321</v>
      </c>
      <c r="P68" s="56" t="s">
        <v>322</v>
      </c>
      <c r="Q68" s="57"/>
      <c r="R68" s="57"/>
      <c r="S68" s="49" t="s">
        <v>66</v>
      </c>
      <c r="T68" s="59"/>
      <c r="U68" s="59"/>
      <c r="V68" s="59"/>
      <c r="W68" s="59"/>
      <c r="X68" s="59"/>
      <c r="Y68" s="59"/>
      <c r="Z68" s="59"/>
      <c r="AA68" s="59"/>
      <c r="AB68" s="59"/>
      <c r="AC68" s="59"/>
    </row>
    <row r="69" ht="22.5" customHeight="1">
      <c r="A69" s="100"/>
      <c r="B69" s="31" t="s">
        <v>71</v>
      </c>
      <c r="C69" s="32"/>
      <c r="D69" s="32" t="s">
        <v>323</v>
      </c>
      <c r="E69" s="34">
        <v>46233.0</v>
      </c>
      <c r="F69" s="31" t="s">
        <v>212</v>
      </c>
      <c r="G69" s="32" t="s">
        <v>52</v>
      </c>
      <c r="H69" s="88">
        <f t="shared" ref="H69:H72" si="22">K69/1.19</f>
        <v>25201.68067</v>
      </c>
      <c r="I69" s="48">
        <f t="shared" ref="I69:I72" si="23">H69*19%</f>
        <v>4788.319328</v>
      </c>
      <c r="J69" s="39">
        <v>0.0</v>
      </c>
      <c r="K69" s="102">
        <v>29990.0</v>
      </c>
      <c r="L69" s="49" t="s">
        <v>77</v>
      </c>
      <c r="M69" s="51" t="s">
        <v>37</v>
      </c>
      <c r="N69" s="49" t="s">
        <v>44</v>
      </c>
      <c r="O69" s="49" t="s">
        <v>323</v>
      </c>
      <c r="P69" s="56" t="s">
        <v>324</v>
      </c>
      <c r="Q69" s="57"/>
      <c r="R69" s="57"/>
      <c r="S69" s="49"/>
      <c r="T69" s="59"/>
      <c r="U69" s="59"/>
      <c r="V69" s="59"/>
      <c r="W69" s="59"/>
      <c r="X69" s="59"/>
      <c r="Y69" s="59"/>
      <c r="Z69" s="59"/>
      <c r="AA69" s="59"/>
      <c r="AB69" s="59"/>
      <c r="AC69" s="59"/>
    </row>
    <row r="70" ht="22.5" customHeight="1">
      <c r="A70" s="100"/>
      <c r="B70" s="31" t="s">
        <v>71</v>
      </c>
      <c r="C70" s="32"/>
      <c r="D70" s="32" t="s">
        <v>325</v>
      </c>
      <c r="E70" s="34">
        <v>46233.0</v>
      </c>
      <c r="F70" s="31" t="s">
        <v>212</v>
      </c>
      <c r="G70" s="32" t="s">
        <v>52</v>
      </c>
      <c r="H70" s="88">
        <f t="shared" si="22"/>
        <v>1638.655462</v>
      </c>
      <c r="I70" s="48">
        <f t="shared" si="23"/>
        <v>311.3445378</v>
      </c>
      <c r="J70" s="39">
        <v>0.0</v>
      </c>
      <c r="K70" s="102">
        <v>1950.0</v>
      </c>
      <c r="L70" s="49" t="s">
        <v>77</v>
      </c>
      <c r="M70" s="51" t="s">
        <v>37</v>
      </c>
      <c r="N70" s="49" t="s">
        <v>44</v>
      </c>
      <c r="O70" s="49" t="s">
        <v>325</v>
      </c>
      <c r="P70" s="56" t="s">
        <v>324</v>
      </c>
      <c r="Q70" s="57"/>
      <c r="R70" s="57"/>
      <c r="S70" s="49"/>
      <c r="T70" s="59"/>
      <c r="U70" s="59"/>
      <c r="V70" s="59"/>
      <c r="W70" s="59"/>
      <c r="X70" s="59"/>
      <c r="Y70" s="59"/>
      <c r="Z70" s="59"/>
      <c r="AA70" s="59"/>
      <c r="AB70" s="59"/>
      <c r="AC70" s="59"/>
    </row>
    <row r="71" ht="22.5" customHeight="1">
      <c r="A71" s="100"/>
      <c r="B71" s="31" t="s">
        <v>71</v>
      </c>
      <c r="C71" s="32"/>
      <c r="D71" s="32" t="s">
        <v>326</v>
      </c>
      <c r="E71" s="34">
        <v>46233.0</v>
      </c>
      <c r="F71" s="31" t="s">
        <v>212</v>
      </c>
      <c r="G71" s="32" t="s">
        <v>52</v>
      </c>
      <c r="H71" s="88">
        <f t="shared" si="22"/>
        <v>126411.7647</v>
      </c>
      <c r="I71" s="48">
        <f t="shared" si="23"/>
        <v>24018.23529</v>
      </c>
      <c r="J71" s="39">
        <v>0.0</v>
      </c>
      <c r="K71" s="102">
        <v>150430.0</v>
      </c>
      <c r="L71" s="49" t="s">
        <v>77</v>
      </c>
      <c r="M71" s="51" t="s">
        <v>37</v>
      </c>
      <c r="N71" s="49" t="s">
        <v>44</v>
      </c>
      <c r="O71" s="49" t="s">
        <v>326</v>
      </c>
      <c r="P71" s="56" t="s">
        <v>324</v>
      </c>
      <c r="Q71" s="57"/>
      <c r="R71" s="57"/>
      <c r="S71" s="49"/>
      <c r="T71" s="59"/>
      <c r="U71" s="59"/>
      <c r="V71" s="59"/>
      <c r="W71" s="59"/>
      <c r="X71" s="59"/>
      <c r="Y71" s="59"/>
      <c r="Z71" s="59"/>
      <c r="AA71" s="59"/>
      <c r="AB71" s="59"/>
      <c r="AC71" s="59"/>
    </row>
    <row r="72" ht="22.5" customHeight="1">
      <c r="A72" s="100"/>
      <c r="B72" s="31" t="s">
        <v>71</v>
      </c>
      <c r="C72" s="32" t="s">
        <v>327</v>
      </c>
      <c r="D72" s="32" t="s">
        <v>328</v>
      </c>
      <c r="E72" s="34">
        <v>46233.0</v>
      </c>
      <c r="F72" s="31" t="s">
        <v>212</v>
      </c>
      <c r="G72" s="32" t="s">
        <v>187</v>
      </c>
      <c r="H72" s="88">
        <f t="shared" si="22"/>
        <v>50420.16807</v>
      </c>
      <c r="I72" s="48">
        <f t="shared" si="23"/>
        <v>9579.831933</v>
      </c>
      <c r="J72" s="39">
        <v>0.0</v>
      </c>
      <c r="K72" s="102">
        <v>60000.0</v>
      </c>
      <c r="L72" s="49" t="s">
        <v>77</v>
      </c>
      <c r="M72" s="51" t="s">
        <v>37</v>
      </c>
      <c r="N72" s="49" t="s">
        <v>44</v>
      </c>
      <c r="O72" s="32" t="s">
        <v>328</v>
      </c>
      <c r="P72" s="104" t="s">
        <v>329</v>
      </c>
      <c r="Q72" s="57"/>
      <c r="R72" s="57"/>
      <c r="S72" s="49"/>
      <c r="T72" s="59"/>
      <c r="U72" s="59"/>
      <c r="V72" s="59"/>
      <c r="W72" s="59"/>
      <c r="X72" s="59"/>
      <c r="Y72" s="59"/>
      <c r="Z72" s="59"/>
      <c r="AA72" s="59"/>
      <c r="AB72" s="59"/>
      <c r="AC72" s="59"/>
    </row>
    <row r="73" ht="22.5" customHeight="1">
      <c r="A73" s="28" t="s">
        <v>177</v>
      </c>
      <c r="B73" s="31" t="s">
        <v>71</v>
      </c>
      <c r="C73" s="32">
        <v>49.0</v>
      </c>
      <c r="D73" s="32" t="s">
        <v>330</v>
      </c>
      <c r="E73" s="34">
        <v>46231.0</v>
      </c>
      <c r="F73" s="61"/>
      <c r="G73" s="63"/>
      <c r="H73" s="39">
        <v>700000.0</v>
      </c>
      <c r="I73" s="42">
        <v>133000.0</v>
      </c>
      <c r="J73" s="39">
        <v>0.0</v>
      </c>
      <c r="K73" s="48">
        <f>H73+I73</f>
        <v>833000</v>
      </c>
      <c r="L73" s="49" t="s">
        <v>77</v>
      </c>
      <c r="M73" s="51" t="s">
        <v>37</v>
      </c>
      <c r="N73" s="49" t="s">
        <v>44</v>
      </c>
      <c r="O73" s="49" t="s">
        <v>331</v>
      </c>
      <c r="P73" s="56" t="s">
        <v>332</v>
      </c>
      <c r="Q73" s="57"/>
      <c r="R73" s="57"/>
      <c r="S73" s="49" t="s">
        <v>66</v>
      </c>
      <c r="T73" s="59"/>
      <c r="U73" s="59"/>
      <c r="V73" s="59"/>
      <c r="W73" s="59"/>
      <c r="X73" s="59"/>
      <c r="Y73" s="59"/>
      <c r="Z73" s="59"/>
      <c r="AA73" s="59"/>
      <c r="AB73" s="59"/>
      <c r="AC73" s="59"/>
    </row>
    <row r="74" ht="22.5" customHeight="1">
      <c r="A74" s="28" t="s">
        <v>40</v>
      </c>
      <c r="B74" s="31" t="s">
        <v>48</v>
      </c>
      <c r="C74" s="32">
        <v>16.0</v>
      </c>
      <c r="D74" s="32" t="s">
        <v>333</v>
      </c>
      <c r="E74" s="34">
        <v>46231.0</v>
      </c>
      <c r="F74" s="31" t="s">
        <v>51</v>
      </c>
      <c r="G74" s="32" t="s">
        <v>52</v>
      </c>
      <c r="H74" s="39">
        <v>40000.0</v>
      </c>
      <c r="I74" s="42">
        <v>0.0</v>
      </c>
      <c r="J74" s="39">
        <v>7198.0</v>
      </c>
      <c r="K74" s="48">
        <f>H74+J74</f>
        <v>47198</v>
      </c>
      <c r="L74" s="49" t="s">
        <v>57</v>
      </c>
      <c r="M74" s="51" t="s">
        <v>38</v>
      </c>
      <c r="N74" s="49" t="s">
        <v>46</v>
      </c>
      <c r="O74" s="49" t="s">
        <v>334</v>
      </c>
      <c r="P74" s="56" t="s">
        <v>335</v>
      </c>
      <c r="Q74" s="107"/>
      <c r="R74" s="57"/>
      <c r="S74" s="49" t="s">
        <v>66</v>
      </c>
      <c r="T74" s="59"/>
      <c r="U74" s="59"/>
      <c r="V74" s="59"/>
      <c r="W74" s="59"/>
      <c r="X74" s="59"/>
      <c r="Y74" s="59"/>
      <c r="Z74" s="59"/>
      <c r="AA74" s="59"/>
      <c r="AB74" s="59"/>
      <c r="AC74" s="59"/>
    </row>
    <row r="75" ht="22.5" customHeight="1">
      <c r="A75" s="100"/>
      <c r="B75" s="31" t="s">
        <v>71</v>
      </c>
      <c r="C75" s="32" t="s">
        <v>336</v>
      </c>
      <c r="D75" s="32" t="s">
        <v>315</v>
      </c>
      <c r="E75" s="34">
        <v>46226.0</v>
      </c>
      <c r="F75" s="31" t="s">
        <v>212</v>
      </c>
      <c r="G75" s="32" t="s">
        <v>187</v>
      </c>
      <c r="H75" s="88">
        <f t="shared" ref="H75:H76" si="24">K75/1.19</f>
        <v>25210.08403</v>
      </c>
      <c r="I75" s="48">
        <f t="shared" ref="I75:I76" si="25">H75*19%</f>
        <v>4789.915966</v>
      </c>
      <c r="J75" s="39">
        <v>0.0</v>
      </c>
      <c r="K75" s="102">
        <v>30000.0</v>
      </c>
      <c r="L75" s="49" t="s">
        <v>77</v>
      </c>
      <c r="M75" s="51" t="s">
        <v>37</v>
      </c>
      <c r="N75" s="49" t="s">
        <v>44</v>
      </c>
      <c r="O75" s="32" t="s">
        <v>315</v>
      </c>
      <c r="P75" s="104" t="s">
        <v>329</v>
      </c>
      <c r="Q75" s="57"/>
      <c r="R75" s="57"/>
      <c r="S75" s="49"/>
      <c r="T75" s="59"/>
      <c r="U75" s="59"/>
      <c r="V75" s="59"/>
      <c r="W75" s="59"/>
      <c r="X75" s="59"/>
      <c r="Y75" s="59"/>
      <c r="Z75" s="59"/>
      <c r="AA75" s="59"/>
      <c r="AB75" s="59"/>
      <c r="AC75" s="59"/>
    </row>
    <row r="76" ht="22.5" customHeight="1">
      <c r="A76" s="100"/>
      <c r="B76" s="31" t="s">
        <v>71</v>
      </c>
      <c r="C76" s="32" t="s">
        <v>337</v>
      </c>
      <c r="D76" s="32" t="s">
        <v>222</v>
      </c>
      <c r="E76" s="34">
        <v>46225.0</v>
      </c>
      <c r="F76" s="31" t="s">
        <v>212</v>
      </c>
      <c r="G76" s="32" t="s">
        <v>187</v>
      </c>
      <c r="H76" s="48">
        <f t="shared" si="24"/>
        <v>15580.84034</v>
      </c>
      <c r="I76" s="48">
        <f t="shared" si="25"/>
        <v>2960.359664</v>
      </c>
      <c r="J76" s="42">
        <v>0.0</v>
      </c>
      <c r="K76" s="102">
        <v>18541.2</v>
      </c>
      <c r="L76" s="49" t="s">
        <v>77</v>
      </c>
      <c r="M76" s="51" t="s">
        <v>37</v>
      </c>
      <c r="N76" s="49" t="s">
        <v>46</v>
      </c>
      <c r="O76" s="32" t="s">
        <v>222</v>
      </c>
      <c r="P76" s="56" t="s">
        <v>338</v>
      </c>
      <c r="Q76" s="57"/>
      <c r="R76" s="57"/>
      <c r="S76" s="49"/>
      <c r="T76" s="59"/>
      <c r="U76" s="59"/>
      <c r="V76" s="59"/>
      <c r="W76" s="59"/>
      <c r="X76" s="59"/>
      <c r="Y76" s="59"/>
      <c r="Z76" s="59"/>
      <c r="AA76" s="59"/>
      <c r="AB76" s="59"/>
      <c r="AC76" s="59"/>
    </row>
    <row r="77" ht="22.5" customHeight="1">
      <c r="A77" s="28" t="s">
        <v>177</v>
      </c>
      <c r="B77" s="31" t="s">
        <v>71</v>
      </c>
      <c r="C77" s="32">
        <v>5.376882E7</v>
      </c>
      <c r="D77" s="32" t="s">
        <v>339</v>
      </c>
      <c r="E77" s="34">
        <v>46223.0</v>
      </c>
      <c r="F77" s="61"/>
      <c r="G77" s="63"/>
      <c r="H77" s="108" t="s">
        <v>275</v>
      </c>
      <c r="I77" s="109" t="s">
        <v>275</v>
      </c>
      <c r="J77" s="108" t="s">
        <v>275</v>
      </c>
      <c r="K77" s="109" t="s">
        <v>275</v>
      </c>
      <c r="L77" s="49" t="s">
        <v>77</v>
      </c>
      <c r="M77" s="51" t="s">
        <v>37</v>
      </c>
      <c r="N77" s="49" t="s">
        <v>46</v>
      </c>
      <c r="O77" s="49" t="s">
        <v>340</v>
      </c>
      <c r="P77" s="104" t="s">
        <v>341</v>
      </c>
      <c r="Q77" s="57"/>
      <c r="R77" s="57"/>
      <c r="S77" s="49" t="s">
        <v>66</v>
      </c>
      <c r="T77" s="59"/>
      <c r="U77" s="59"/>
      <c r="V77" s="59"/>
      <c r="W77" s="59"/>
      <c r="X77" s="59"/>
      <c r="Y77" s="59"/>
      <c r="Z77" s="59"/>
      <c r="AA77" s="59"/>
      <c r="AB77" s="59"/>
      <c r="AC77" s="59"/>
    </row>
    <row r="78" ht="22.5" customHeight="1">
      <c r="A78" s="28" t="s">
        <v>177</v>
      </c>
      <c r="B78" s="31" t="s">
        <v>71</v>
      </c>
      <c r="C78" s="32">
        <v>2.1591468E7</v>
      </c>
      <c r="D78" s="63" t="str">
        <f>D79</f>
        <v>Suscripcion mensual</v>
      </c>
      <c r="E78" s="34">
        <v>46223.0</v>
      </c>
      <c r="F78" s="61"/>
      <c r="G78" s="63"/>
      <c r="H78" s="39">
        <v>17905.0</v>
      </c>
      <c r="I78" s="42">
        <v>3402.0</v>
      </c>
      <c r="J78" s="39">
        <v>0.0</v>
      </c>
      <c r="K78" s="48">
        <f t="shared" ref="K78:K79" si="26">H78+I78</f>
        <v>21307</v>
      </c>
      <c r="L78" s="49" t="s">
        <v>77</v>
      </c>
      <c r="M78" s="51" t="s">
        <v>37</v>
      </c>
      <c r="N78" s="49" t="s">
        <v>46</v>
      </c>
      <c r="O78" s="57" t="str">
        <f>O79</f>
        <v>Pago credito </v>
      </c>
      <c r="P78" s="56" t="s">
        <v>342</v>
      </c>
      <c r="Q78" s="57"/>
      <c r="R78" s="57"/>
      <c r="S78" s="49" t="s">
        <v>66</v>
      </c>
      <c r="T78" s="59"/>
      <c r="U78" s="59"/>
      <c r="V78" s="59"/>
      <c r="W78" s="59"/>
      <c r="X78" s="59"/>
      <c r="Y78" s="59"/>
      <c r="Z78" s="59"/>
      <c r="AA78" s="59"/>
      <c r="AB78" s="59"/>
      <c r="AC78" s="59"/>
    </row>
    <row r="79" ht="22.5" customHeight="1">
      <c r="A79" s="28" t="s">
        <v>177</v>
      </c>
      <c r="B79" s="31" t="s">
        <v>71</v>
      </c>
      <c r="C79" s="32">
        <v>16139.0</v>
      </c>
      <c r="D79" s="32" t="s">
        <v>343</v>
      </c>
      <c r="E79" s="34">
        <v>46220.0</v>
      </c>
      <c r="F79" s="61"/>
      <c r="G79" s="32" t="s">
        <v>187</v>
      </c>
      <c r="H79" s="39">
        <v>71887.0</v>
      </c>
      <c r="I79" s="42">
        <v>13659.0</v>
      </c>
      <c r="J79" s="39">
        <v>0.0</v>
      </c>
      <c r="K79" s="48">
        <f t="shared" si="26"/>
        <v>85546</v>
      </c>
      <c r="L79" s="49" t="s">
        <v>77</v>
      </c>
      <c r="M79" s="51" t="s">
        <v>37</v>
      </c>
      <c r="N79" s="49" t="s">
        <v>46</v>
      </c>
      <c r="O79" s="49" t="s">
        <v>344</v>
      </c>
      <c r="P79" s="56" t="s">
        <v>345</v>
      </c>
      <c r="Q79" s="57"/>
      <c r="R79" s="57"/>
      <c r="S79" s="49" t="s">
        <v>66</v>
      </c>
      <c r="T79" s="59"/>
      <c r="U79" s="59"/>
      <c r="V79" s="59"/>
      <c r="W79" s="59"/>
      <c r="X79" s="59"/>
      <c r="Y79" s="59"/>
      <c r="Z79" s="59"/>
      <c r="AA79" s="59"/>
      <c r="AB79" s="59"/>
      <c r="AC79" s="59"/>
    </row>
    <row r="80" ht="22.5" customHeight="1">
      <c r="A80" s="100"/>
      <c r="B80" s="31" t="s">
        <v>71</v>
      </c>
      <c r="C80" s="32" t="s">
        <v>346</v>
      </c>
      <c r="D80" s="32" t="s">
        <v>240</v>
      </c>
      <c r="E80" s="34">
        <v>46218.0</v>
      </c>
      <c r="F80" s="31" t="s">
        <v>212</v>
      </c>
      <c r="G80" s="32" t="s">
        <v>187</v>
      </c>
      <c r="H80" s="88">
        <f>K80/1.19</f>
        <v>18541.20168</v>
      </c>
      <c r="I80" s="48">
        <f>H80*19%</f>
        <v>3522.828319</v>
      </c>
      <c r="J80" s="39">
        <v>0.0</v>
      </c>
      <c r="K80" s="102">
        <v>22064.03</v>
      </c>
      <c r="L80" s="49" t="s">
        <v>77</v>
      </c>
      <c r="M80" s="51" t="s">
        <v>37</v>
      </c>
      <c r="N80" s="49" t="s">
        <v>46</v>
      </c>
      <c r="O80" s="49" t="s">
        <v>241</v>
      </c>
      <c r="P80" s="56" t="s">
        <v>338</v>
      </c>
      <c r="Q80" s="110"/>
      <c r="R80" s="57"/>
      <c r="S80" s="49"/>
      <c r="T80" s="59"/>
      <c r="U80" s="59"/>
      <c r="V80" s="59"/>
      <c r="W80" s="59"/>
      <c r="X80" s="59"/>
      <c r="Y80" s="59"/>
      <c r="Z80" s="59"/>
      <c r="AA80" s="59"/>
      <c r="AB80" s="59"/>
      <c r="AC80" s="59"/>
    </row>
    <row r="81" ht="22.5" customHeight="1">
      <c r="A81" s="28" t="s">
        <v>177</v>
      </c>
      <c r="B81" s="31" t="s">
        <v>71</v>
      </c>
      <c r="C81" s="32" t="s">
        <v>347</v>
      </c>
      <c r="D81" s="32" t="s">
        <v>247</v>
      </c>
      <c r="E81" s="34">
        <v>46217.0</v>
      </c>
      <c r="F81" s="61"/>
      <c r="G81" s="63"/>
      <c r="H81" s="39">
        <v>18320.0</v>
      </c>
      <c r="I81" s="42">
        <v>3500.0</v>
      </c>
      <c r="J81" s="39">
        <v>0.0</v>
      </c>
      <c r="K81" s="48">
        <f>H81+I81</f>
        <v>21820</v>
      </c>
      <c r="L81" s="49" t="s">
        <v>77</v>
      </c>
      <c r="M81" s="51" t="s">
        <v>37</v>
      </c>
      <c r="N81" s="49" t="s">
        <v>46</v>
      </c>
      <c r="O81" s="49" t="s">
        <v>248</v>
      </c>
      <c r="P81" s="104" t="s">
        <v>348</v>
      </c>
      <c r="Q81" s="110"/>
      <c r="R81" s="57"/>
      <c r="S81" s="49" t="s">
        <v>66</v>
      </c>
      <c r="T81" s="59"/>
      <c r="U81" s="59"/>
      <c r="V81" s="59"/>
      <c r="W81" s="59"/>
      <c r="X81" s="59"/>
      <c r="Y81" s="59"/>
      <c r="Z81" s="59"/>
      <c r="AA81" s="59"/>
      <c r="AB81" s="59"/>
      <c r="AC81" s="59"/>
    </row>
    <row r="82" ht="22.5" customHeight="1">
      <c r="A82" s="28" t="s">
        <v>148</v>
      </c>
      <c r="B82" s="31" t="s">
        <v>71</v>
      </c>
      <c r="C82" s="32">
        <v>438263.0</v>
      </c>
      <c r="D82" s="32" t="s">
        <v>198</v>
      </c>
      <c r="E82" s="34">
        <v>46213.0</v>
      </c>
      <c r="F82" s="61"/>
      <c r="G82" s="32" t="s">
        <v>187</v>
      </c>
      <c r="H82" s="39">
        <v>8776.0</v>
      </c>
      <c r="I82" s="42">
        <v>1667.0</v>
      </c>
      <c r="J82" s="39">
        <v>0.0</v>
      </c>
      <c r="K82" s="48">
        <f>H82+I82+1177</f>
        <v>11620</v>
      </c>
      <c r="L82" s="49" t="s">
        <v>57</v>
      </c>
      <c r="M82" s="51" t="s">
        <v>38</v>
      </c>
      <c r="N82" s="49" t="s">
        <v>44</v>
      </c>
      <c r="O82" s="49" t="s">
        <v>308</v>
      </c>
      <c r="P82" s="49" t="s">
        <v>349</v>
      </c>
      <c r="Q82" s="111" t="s">
        <v>350</v>
      </c>
      <c r="R82" s="57"/>
      <c r="S82" s="49"/>
      <c r="T82" s="59"/>
      <c r="U82" s="59"/>
      <c r="V82" s="59"/>
      <c r="W82" s="59"/>
      <c r="X82" s="59"/>
      <c r="Y82" s="59"/>
      <c r="Z82" s="59"/>
      <c r="AA82" s="59"/>
      <c r="AB82" s="59"/>
      <c r="AC82" s="59"/>
    </row>
    <row r="83" ht="22.5" customHeight="1">
      <c r="A83" s="28" t="s">
        <v>69</v>
      </c>
      <c r="B83" s="31" t="s">
        <v>71</v>
      </c>
      <c r="C83" s="63"/>
      <c r="D83" s="32" t="s">
        <v>150</v>
      </c>
      <c r="E83" s="34">
        <v>46213.0</v>
      </c>
      <c r="F83" s="61"/>
      <c r="G83" s="32" t="s">
        <v>151</v>
      </c>
      <c r="H83" s="39">
        <v>800.0</v>
      </c>
      <c r="I83" s="42">
        <v>0.0</v>
      </c>
      <c r="J83" s="39">
        <v>0.0</v>
      </c>
      <c r="K83" s="42">
        <v>800.0</v>
      </c>
      <c r="L83" s="49" t="s">
        <v>57</v>
      </c>
      <c r="M83" s="51" t="s">
        <v>38</v>
      </c>
      <c r="N83" s="49" t="s">
        <v>44</v>
      </c>
      <c r="O83" s="49" t="s">
        <v>156</v>
      </c>
      <c r="P83" s="49" t="s">
        <v>351</v>
      </c>
      <c r="Q83" s="111" t="s">
        <v>350</v>
      </c>
      <c r="R83" s="57"/>
      <c r="S83" s="49"/>
      <c r="T83" s="59"/>
      <c r="U83" s="59"/>
      <c r="V83" s="59"/>
      <c r="W83" s="59"/>
      <c r="X83" s="59"/>
      <c r="Y83" s="59"/>
      <c r="Z83" s="59"/>
      <c r="AA83" s="59"/>
      <c r="AB83" s="59"/>
      <c r="AC83" s="59"/>
    </row>
    <row r="84" ht="22.5" customHeight="1">
      <c r="A84" s="28" t="s">
        <v>148</v>
      </c>
      <c r="B84" s="31" t="s">
        <v>71</v>
      </c>
      <c r="C84" s="32">
        <v>8897.0</v>
      </c>
      <c r="D84" s="32" t="s">
        <v>352</v>
      </c>
      <c r="E84" s="34">
        <v>46213.0</v>
      </c>
      <c r="F84" s="61"/>
      <c r="G84" s="32" t="s">
        <v>187</v>
      </c>
      <c r="H84" s="39">
        <v>5042.0</v>
      </c>
      <c r="I84" s="42">
        <v>958.0</v>
      </c>
      <c r="J84" s="39">
        <v>0.0</v>
      </c>
      <c r="K84" s="48">
        <f t="shared" ref="K84:K85" si="27">H84+I84</f>
        <v>6000</v>
      </c>
      <c r="L84" s="49" t="s">
        <v>57</v>
      </c>
      <c r="M84" s="51" t="s">
        <v>38</v>
      </c>
      <c r="N84" s="49" t="s">
        <v>44</v>
      </c>
      <c r="O84" s="49" t="s">
        <v>254</v>
      </c>
      <c r="P84" s="49" t="s">
        <v>353</v>
      </c>
      <c r="Q84" s="111" t="s">
        <v>350</v>
      </c>
      <c r="R84" s="57"/>
      <c r="S84" s="49"/>
      <c r="T84" s="59"/>
      <c r="U84" s="59"/>
      <c r="V84" s="59"/>
      <c r="W84" s="59"/>
      <c r="X84" s="59"/>
      <c r="Y84" s="59"/>
      <c r="Z84" s="59"/>
      <c r="AA84" s="59"/>
      <c r="AB84" s="59"/>
      <c r="AC84" s="59"/>
    </row>
    <row r="85" ht="22.5" customHeight="1">
      <c r="A85" s="28" t="s">
        <v>177</v>
      </c>
      <c r="B85" s="31" t="s">
        <v>71</v>
      </c>
      <c r="C85" s="32">
        <v>3506078.0</v>
      </c>
      <c r="D85" s="32" t="s">
        <v>354</v>
      </c>
      <c r="E85" s="34">
        <v>46211.0</v>
      </c>
      <c r="F85" s="31" t="s">
        <v>51</v>
      </c>
      <c r="G85" s="32" t="s">
        <v>52</v>
      </c>
      <c r="H85" s="39">
        <v>3445.0</v>
      </c>
      <c r="I85" s="42">
        <v>655.0</v>
      </c>
      <c r="J85" s="39">
        <v>0.0</v>
      </c>
      <c r="K85" s="48">
        <f t="shared" si="27"/>
        <v>4100</v>
      </c>
      <c r="L85" s="49" t="s">
        <v>55</v>
      </c>
      <c r="M85" s="51" t="s">
        <v>38</v>
      </c>
      <c r="N85" s="49" t="s">
        <v>44</v>
      </c>
      <c r="O85" s="49" t="s">
        <v>355</v>
      </c>
      <c r="P85" s="56" t="s">
        <v>356</v>
      </c>
      <c r="Q85" s="112" t="s">
        <v>357</v>
      </c>
      <c r="R85" s="57"/>
      <c r="S85" s="49" t="s">
        <v>66</v>
      </c>
      <c r="T85" s="59"/>
      <c r="U85" s="59"/>
      <c r="V85" s="59"/>
      <c r="W85" s="59"/>
      <c r="X85" s="59"/>
      <c r="Y85" s="59"/>
      <c r="Z85" s="59"/>
      <c r="AA85" s="59"/>
      <c r="AB85" s="59"/>
      <c r="AC85" s="59"/>
    </row>
    <row r="86" ht="22.5" customHeight="1">
      <c r="A86" s="28" t="s">
        <v>148</v>
      </c>
      <c r="B86" s="31" t="s">
        <v>71</v>
      </c>
      <c r="C86" s="32">
        <v>3.2312811E7</v>
      </c>
      <c r="D86" s="113" t="s">
        <v>358</v>
      </c>
      <c r="E86" s="34">
        <v>46210.0</v>
      </c>
      <c r="F86" s="61"/>
      <c r="G86" s="63"/>
      <c r="H86" s="106"/>
      <c r="I86" s="114"/>
      <c r="J86" s="106"/>
      <c r="K86" s="48"/>
      <c r="L86" s="49" t="s">
        <v>77</v>
      </c>
      <c r="M86" s="115"/>
      <c r="N86" s="57"/>
      <c r="O86" s="57"/>
      <c r="P86" s="56" t="s">
        <v>359</v>
      </c>
      <c r="Q86" s="57"/>
      <c r="R86" s="57"/>
      <c r="S86" s="49" t="s">
        <v>66</v>
      </c>
      <c r="T86" s="59"/>
      <c r="U86" s="59"/>
      <c r="V86" s="59"/>
      <c r="W86" s="59"/>
      <c r="X86" s="59"/>
      <c r="Y86" s="59"/>
      <c r="Z86" s="59"/>
      <c r="AA86" s="59"/>
      <c r="AB86" s="59"/>
      <c r="AC86" s="59"/>
    </row>
    <row r="87" ht="22.5" customHeight="1">
      <c r="A87" s="100"/>
      <c r="B87" s="31" t="s">
        <v>71</v>
      </c>
      <c r="C87" s="32" t="s">
        <v>360</v>
      </c>
      <c r="D87" s="32" t="s">
        <v>304</v>
      </c>
      <c r="E87" s="34">
        <v>46210.0</v>
      </c>
      <c r="F87" s="31" t="s">
        <v>212</v>
      </c>
      <c r="G87" s="32" t="s">
        <v>187</v>
      </c>
      <c r="H87" s="88">
        <f t="shared" ref="H87:H88" si="28">K87/1.19</f>
        <v>52663.2437</v>
      </c>
      <c r="I87" s="48">
        <f t="shared" ref="I87:I88" si="29">H87*19%</f>
        <v>10006.0163</v>
      </c>
      <c r="J87" s="39">
        <v>0.0</v>
      </c>
      <c r="K87" s="102">
        <v>62669.26</v>
      </c>
      <c r="L87" s="49" t="s">
        <v>77</v>
      </c>
      <c r="M87" s="51" t="s">
        <v>37</v>
      </c>
      <c r="N87" s="49" t="s">
        <v>44</v>
      </c>
      <c r="O87" s="49" t="s">
        <v>304</v>
      </c>
      <c r="P87" s="56" t="s">
        <v>338</v>
      </c>
      <c r="Q87" s="57"/>
      <c r="R87" s="57"/>
      <c r="S87" s="49"/>
      <c r="T87" s="59"/>
      <c r="U87" s="59"/>
      <c r="V87" s="59"/>
      <c r="W87" s="59"/>
      <c r="X87" s="59"/>
      <c r="Y87" s="59"/>
      <c r="Z87" s="59"/>
      <c r="AA87" s="59"/>
      <c r="AB87" s="59"/>
      <c r="AC87" s="59"/>
    </row>
    <row r="88" ht="22.5" customHeight="1">
      <c r="A88" s="100"/>
      <c r="B88" s="31" t="s">
        <v>71</v>
      </c>
      <c r="C88" s="32"/>
      <c r="D88" s="32" t="s">
        <v>361</v>
      </c>
      <c r="E88" s="34">
        <v>46210.0</v>
      </c>
      <c r="F88" s="31" t="s">
        <v>212</v>
      </c>
      <c r="G88" s="32" t="s">
        <v>52</v>
      </c>
      <c r="H88" s="88">
        <f t="shared" si="28"/>
        <v>107666.3866</v>
      </c>
      <c r="I88" s="48">
        <f t="shared" si="29"/>
        <v>20456.61345</v>
      </c>
      <c r="J88" s="39">
        <v>0.0</v>
      </c>
      <c r="K88" s="102">
        <v>128123.0</v>
      </c>
      <c r="L88" s="49" t="s">
        <v>77</v>
      </c>
      <c r="M88" s="51" t="s">
        <v>37</v>
      </c>
      <c r="N88" s="49" t="s">
        <v>44</v>
      </c>
      <c r="O88" s="49" t="s">
        <v>361</v>
      </c>
      <c r="P88" s="56" t="s">
        <v>324</v>
      </c>
      <c r="Q88" s="57"/>
      <c r="R88" s="57"/>
      <c r="S88" s="49"/>
      <c r="T88" s="59"/>
      <c r="U88" s="59"/>
      <c r="V88" s="59"/>
      <c r="W88" s="59"/>
      <c r="X88" s="59"/>
      <c r="Y88" s="59"/>
      <c r="Z88" s="59"/>
      <c r="AA88" s="59"/>
      <c r="AB88" s="59"/>
      <c r="AC88" s="59"/>
    </row>
    <row r="89" ht="22.5" customHeight="1">
      <c r="A89" s="28" t="s">
        <v>177</v>
      </c>
      <c r="B89" s="31" t="s">
        <v>71</v>
      </c>
      <c r="C89" s="32">
        <v>2.15163E7</v>
      </c>
      <c r="D89" s="32" t="s">
        <v>296</v>
      </c>
      <c r="E89" s="34">
        <v>46208.0</v>
      </c>
      <c r="F89" s="61"/>
      <c r="G89" s="63"/>
      <c r="H89" s="39">
        <v>28168.0</v>
      </c>
      <c r="I89" s="42">
        <v>5352.0</v>
      </c>
      <c r="J89" s="39">
        <v>0.0</v>
      </c>
      <c r="K89" s="48">
        <f>H89+I89</f>
        <v>33520</v>
      </c>
      <c r="L89" s="49" t="s">
        <v>77</v>
      </c>
      <c r="M89" s="51" t="s">
        <v>37</v>
      </c>
      <c r="N89" s="49" t="s">
        <v>46</v>
      </c>
      <c r="O89" s="57" t="str">
        <f>O90</f>
        <v>Servicio publico telefonico </v>
      </c>
      <c r="P89" s="56" t="s">
        <v>362</v>
      </c>
      <c r="Q89" s="57"/>
      <c r="R89" s="57"/>
      <c r="S89" s="49" t="s">
        <v>66</v>
      </c>
      <c r="T89" s="59"/>
      <c r="U89" s="59"/>
      <c r="V89" s="59"/>
      <c r="W89" s="59"/>
      <c r="X89" s="59"/>
      <c r="Y89" s="59"/>
      <c r="Z89" s="59"/>
      <c r="AA89" s="59"/>
      <c r="AB89" s="59"/>
      <c r="AC89" s="59"/>
    </row>
    <row r="90" ht="22.5" customHeight="1">
      <c r="A90" s="28" t="s">
        <v>177</v>
      </c>
      <c r="B90" s="31" t="s">
        <v>71</v>
      </c>
      <c r="C90" s="32">
        <v>2.1512257E7</v>
      </c>
      <c r="D90" s="32" t="s">
        <v>339</v>
      </c>
      <c r="E90" s="34">
        <v>46204.0</v>
      </c>
      <c r="F90" s="61"/>
      <c r="G90" s="63"/>
      <c r="H90" s="39">
        <v>26805.0</v>
      </c>
      <c r="I90" s="42">
        <v>5093.0</v>
      </c>
      <c r="J90" s="39">
        <v>0.0</v>
      </c>
      <c r="K90" s="42">
        <v>31898.0</v>
      </c>
      <c r="L90" s="49" t="s">
        <v>77</v>
      </c>
      <c r="M90" s="51" t="s">
        <v>37</v>
      </c>
      <c r="N90" s="49" t="s">
        <v>46</v>
      </c>
      <c r="O90" s="49" t="s">
        <v>363</v>
      </c>
      <c r="P90" s="104" t="s">
        <v>364</v>
      </c>
      <c r="Q90" s="57"/>
      <c r="R90" s="57"/>
      <c r="S90" s="49" t="s">
        <v>66</v>
      </c>
      <c r="T90" s="59"/>
      <c r="U90" s="59"/>
      <c r="V90" s="59"/>
      <c r="W90" s="59"/>
      <c r="X90" s="59"/>
      <c r="Y90" s="59"/>
      <c r="Z90" s="59"/>
      <c r="AA90" s="59"/>
      <c r="AB90" s="59"/>
      <c r="AC90" s="59"/>
    </row>
    <row r="91" ht="22.5" customHeight="1">
      <c r="A91" s="28" t="s">
        <v>177</v>
      </c>
      <c r="B91" s="31" t="s">
        <v>71</v>
      </c>
      <c r="C91" s="32">
        <v>43.0</v>
      </c>
      <c r="D91" s="32" t="s">
        <v>330</v>
      </c>
      <c r="E91" s="34">
        <v>46204.0</v>
      </c>
      <c r="F91" s="31" t="s">
        <v>51</v>
      </c>
      <c r="G91" s="32" t="s">
        <v>187</v>
      </c>
      <c r="H91" s="39">
        <v>700000.0</v>
      </c>
      <c r="I91" s="42">
        <v>133000.0</v>
      </c>
      <c r="J91" s="39">
        <v>0.0</v>
      </c>
      <c r="K91" s="48">
        <f>H91+I91</f>
        <v>833000</v>
      </c>
      <c r="L91" s="49" t="s">
        <v>77</v>
      </c>
      <c r="M91" s="51" t="s">
        <v>37</v>
      </c>
      <c r="N91" s="49" t="s">
        <v>44</v>
      </c>
      <c r="O91" s="49" t="s">
        <v>331</v>
      </c>
      <c r="P91" s="56" t="s">
        <v>365</v>
      </c>
      <c r="Q91" s="57"/>
      <c r="R91" s="57"/>
      <c r="S91" s="49" t="s">
        <v>66</v>
      </c>
      <c r="T91" s="59"/>
      <c r="U91" s="59"/>
      <c r="V91" s="59"/>
      <c r="W91" s="59"/>
      <c r="X91" s="59"/>
      <c r="Y91" s="59"/>
      <c r="Z91" s="59"/>
      <c r="AA91" s="59"/>
      <c r="AB91" s="59"/>
      <c r="AC91" s="59"/>
    </row>
    <row r="92" ht="22.5" customHeight="1">
      <c r="A92" s="100"/>
      <c r="B92" s="31" t="s">
        <v>71</v>
      </c>
      <c r="C92" s="32"/>
      <c r="D92" s="32" t="s">
        <v>366</v>
      </c>
      <c r="E92" s="34">
        <v>46204.0</v>
      </c>
      <c r="F92" s="31" t="s">
        <v>212</v>
      </c>
      <c r="G92" s="32" t="s">
        <v>52</v>
      </c>
      <c r="H92" s="88">
        <f>K92/1.19</f>
        <v>420168.0672</v>
      </c>
      <c r="I92" s="48">
        <f>H92*19%</f>
        <v>79831.93277</v>
      </c>
      <c r="J92" s="39">
        <v>0.0</v>
      </c>
      <c r="K92" s="102">
        <v>500000.0</v>
      </c>
      <c r="L92" s="49" t="s">
        <v>77</v>
      </c>
      <c r="M92" s="51" t="s">
        <v>37</v>
      </c>
      <c r="N92" s="49" t="s">
        <v>44</v>
      </c>
      <c r="O92" s="49" t="s">
        <v>366</v>
      </c>
      <c r="P92" s="56" t="s">
        <v>367</v>
      </c>
      <c r="Q92" s="57"/>
      <c r="R92" s="57"/>
      <c r="S92" s="49"/>
      <c r="T92" s="59"/>
      <c r="U92" s="59"/>
      <c r="V92" s="59"/>
      <c r="W92" s="59"/>
      <c r="X92" s="59"/>
      <c r="Y92" s="59"/>
      <c r="Z92" s="59"/>
      <c r="AA92" s="59"/>
      <c r="AB92" s="59"/>
      <c r="AC92" s="59"/>
    </row>
    <row r="93" ht="22.5" customHeight="1">
      <c r="A93" s="28" t="s">
        <v>40</v>
      </c>
      <c r="B93" s="31" t="s">
        <v>48</v>
      </c>
      <c r="C93" s="32">
        <v>90.0</v>
      </c>
      <c r="D93" s="32" t="s">
        <v>320</v>
      </c>
      <c r="E93" s="34">
        <v>46203.0</v>
      </c>
      <c r="F93" s="31" t="s">
        <v>51</v>
      </c>
      <c r="G93" s="32" t="s">
        <v>52</v>
      </c>
      <c r="H93" s="39">
        <v>300000.0</v>
      </c>
      <c r="I93" s="42">
        <v>0.0</v>
      </c>
      <c r="J93" s="39">
        <v>53982.0</v>
      </c>
      <c r="K93" s="48">
        <f t="shared" ref="K93:K95" si="30">H93+J93</f>
        <v>353982</v>
      </c>
      <c r="L93" s="49" t="s">
        <v>54</v>
      </c>
      <c r="M93" s="51" t="s">
        <v>38</v>
      </c>
      <c r="N93" s="49" t="s">
        <v>46</v>
      </c>
      <c r="O93" s="49" t="s">
        <v>321</v>
      </c>
      <c r="P93" s="56" t="s">
        <v>368</v>
      </c>
      <c r="Q93" s="57"/>
      <c r="R93" s="57"/>
      <c r="S93" s="49" t="s">
        <v>66</v>
      </c>
      <c r="T93" s="59"/>
      <c r="U93" s="59"/>
      <c r="V93" s="59"/>
      <c r="W93" s="59"/>
      <c r="X93" s="59"/>
      <c r="Y93" s="59"/>
      <c r="Z93" s="59"/>
      <c r="AA93" s="59"/>
      <c r="AB93" s="59"/>
      <c r="AC93" s="59"/>
    </row>
    <row r="94" ht="22.5" customHeight="1">
      <c r="A94" s="28" t="s">
        <v>40</v>
      </c>
      <c r="B94" s="31" t="s">
        <v>71</v>
      </c>
      <c r="C94" s="32">
        <v>17.0</v>
      </c>
      <c r="D94" s="32" t="s">
        <v>369</v>
      </c>
      <c r="E94" s="34">
        <v>46203.0</v>
      </c>
      <c r="F94" s="31" t="s">
        <v>51</v>
      </c>
      <c r="G94" s="32" t="s">
        <v>52</v>
      </c>
      <c r="H94" s="39">
        <v>275000.0</v>
      </c>
      <c r="I94" s="42">
        <v>0.0</v>
      </c>
      <c r="J94" s="39">
        <v>49484.0</v>
      </c>
      <c r="K94" s="48">
        <f t="shared" si="30"/>
        <v>324484</v>
      </c>
      <c r="L94" s="49" t="s">
        <v>77</v>
      </c>
      <c r="M94" s="51" t="s">
        <v>37</v>
      </c>
      <c r="N94" s="49" t="s">
        <v>46</v>
      </c>
      <c r="O94" s="49" t="s">
        <v>370</v>
      </c>
      <c r="P94" s="116" t="s">
        <v>371</v>
      </c>
      <c r="Q94" s="57"/>
      <c r="R94" s="57"/>
      <c r="S94" s="49" t="s">
        <v>66</v>
      </c>
      <c r="T94" s="59"/>
      <c r="U94" s="59"/>
      <c r="V94" s="59"/>
      <c r="W94" s="59"/>
      <c r="X94" s="59"/>
      <c r="Y94" s="59"/>
      <c r="Z94" s="59"/>
      <c r="AA94" s="59"/>
      <c r="AB94" s="59"/>
      <c r="AC94" s="59"/>
    </row>
    <row r="95" ht="22.5" customHeight="1">
      <c r="A95" s="28" t="s">
        <v>40</v>
      </c>
      <c r="B95" s="31" t="s">
        <v>48</v>
      </c>
      <c r="C95" s="32">
        <v>14.0</v>
      </c>
      <c r="D95" s="32" t="s">
        <v>333</v>
      </c>
      <c r="E95" s="34">
        <v>46203.0</v>
      </c>
      <c r="F95" s="31" t="s">
        <v>51</v>
      </c>
      <c r="G95" s="32" t="s">
        <v>52</v>
      </c>
      <c r="H95" s="39">
        <v>40000.0</v>
      </c>
      <c r="I95" s="42">
        <v>0.0</v>
      </c>
      <c r="J95" s="39">
        <v>7198.0</v>
      </c>
      <c r="K95" s="48">
        <f t="shared" si="30"/>
        <v>47198</v>
      </c>
      <c r="L95" s="49" t="s">
        <v>57</v>
      </c>
      <c r="M95" s="51" t="s">
        <v>38</v>
      </c>
      <c r="N95" s="49" t="s">
        <v>46</v>
      </c>
      <c r="O95" s="49" t="s">
        <v>334</v>
      </c>
      <c r="P95" s="56" t="s">
        <v>372</v>
      </c>
      <c r="Q95" s="57"/>
      <c r="R95" s="57"/>
      <c r="S95" s="49" t="s">
        <v>66</v>
      </c>
      <c r="T95" s="59"/>
      <c r="U95" s="59"/>
      <c r="V95" s="59"/>
      <c r="W95" s="59"/>
      <c r="X95" s="59"/>
      <c r="Y95" s="59"/>
      <c r="Z95" s="59"/>
      <c r="AA95" s="59"/>
      <c r="AB95" s="59"/>
      <c r="AC95" s="59"/>
    </row>
    <row r="96" ht="22.5" customHeight="1">
      <c r="A96" s="28" t="s">
        <v>69</v>
      </c>
      <c r="B96" s="31" t="s">
        <v>71</v>
      </c>
      <c r="C96" s="63"/>
      <c r="D96" s="32" t="s">
        <v>150</v>
      </c>
      <c r="E96" s="34">
        <v>46197.0</v>
      </c>
      <c r="F96" s="61"/>
      <c r="G96" s="32" t="s">
        <v>151</v>
      </c>
      <c r="H96" s="39">
        <v>800.0</v>
      </c>
      <c r="I96" s="42">
        <v>0.0</v>
      </c>
      <c r="J96" s="39">
        <v>0.0</v>
      </c>
      <c r="K96" s="42">
        <v>800.0</v>
      </c>
      <c r="L96" s="49" t="s">
        <v>57</v>
      </c>
      <c r="M96" s="51" t="s">
        <v>38</v>
      </c>
      <c r="N96" s="49" t="s">
        <v>44</v>
      </c>
      <c r="O96" s="49" t="s">
        <v>156</v>
      </c>
      <c r="P96" s="49" t="s">
        <v>373</v>
      </c>
      <c r="Q96" s="56" t="s">
        <v>374</v>
      </c>
      <c r="R96" s="57"/>
      <c r="S96" s="49"/>
      <c r="T96" s="59"/>
      <c r="U96" s="59"/>
      <c r="V96" s="59"/>
      <c r="W96" s="59"/>
      <c r="X96" s="59"/>
      <c r="Y96" s="59"/>
      <c r="Z96" s="59"/>
      <c r="AA96" s="59"/>
      <c r="AB96" s="59"/>
      <c r="AC96" s="59"/>
    </row>
    <row r="97" ht="22.5" customHeight="1">
      <c r="A97" s="28" t="s">
        <v>69</v>
      </c>
      <c r="B97" s="31" t="s">
        <v>71</v>
      </c>
      <c r="C97" s="63"/>
      <c r="D97" s="32" t="s">
        <v>150</v>
      </c>
      <c r="E97" s="34">
        <v>46197.0</v>
      </c>
      <c r="F97" s="61"/>
      <c r="G97" s="32" t="s">
        <v>151</v>
      </c>
      <c r="H97" s="39">
        <v>800.0</v>
      </c>
      <c r="I97" s="42">
        <v>0.0</v>
      </c>
      <c r="J97" s="39">
        <v>0.0</v>
      </c>
      <c r="K97" s="42">
        <v>800.0</v>
      </c>
      <c r="L97" s="49" t="s">
        <v>57</v>
      </c>
      <c r="M97" s="51" t="s">
        <v>38</v>
      </c>
      <c r="N97" s="49" t="s">
        <v>44</v>
      </c>
      <c r="O97" s="49" t="s">
        <v>375</v>
      </c>
      <c r="P97" s="49" t="s">
        <v>376</v>
      </c>
      <c r="Q97" s="56" t="s">
        <v>374</v>
      </c>
      <c r="R97" s="57"/>
      <c r="S97" s="49"/>
      <c r="T97" s="59"/>
      <c r="U97" s="59"/>
      <c r="V97" s="59"/>
      <c r="W97" s="59"/>
      <c r="X97" s="59"/>
      <c r="Y97" s="59"/>
      <c r="Z97" s="59"/>
      <c r="AA97" s="59"/>
      <c r="AB97" s="59"/>
      <c r="AC97" s="59"/>
    </row>
    <row r="98" ht="22.5" customHeight="1">
      <c r="A98" s="28" t="s">
        <v>148</v>
      </c>
      <c r="B98" s="31" t="s">
        <v>71</v>
      </c>
      <c r="C98" s="32">
        <v>1.1931895E7</v>
      </c>
      <c r="D98" s="32" t="s">
        <v>161</v>
      </c>
      <c r="E98" s="34">
        <v>46197.0</v>
      </c>
      <c r="F98" s="61"/>
      <c r="G98" s="32" t="s">
        <v>52</v>
      </c>
      <c r="H98" s="39">
        <v>8131.0</v>
      </c>
      <c r="I98" s="48">
        <f t="shared" ref="I98:I99" si="31">H98*19%</f>
        <v>1544.89</v>
      </c>
      <c r="J98" s="39">
        <v>0.0</v>
      </c>
      <c r="K98" s="42">
        <f>H98+I98+860</f>
        <v>10535.89</v>
      </c>
      <c r="L98" s="49" t="s">
        <v>58</v>
      </c>
      <c r="M98" s="51" t="s">
        <v>38</v>
      </c>
      <c r="N98" s="49" t="s">
        <v>44</v>
      </c>
      <c r="O98" s="49" t="s">
        <v>308</v>
      </c>
      <c r="P98" s="49" t="s">
        <v>377</v>
      </c>
      <c r="Q98" s="56" t="s">
        <v>374</v>
      </c>
      <c r="R98" s="57"/>
      <c r="S98" s="49" t="s">
        <v>66</v>
      </c>
      <c r="T98" s="59"/>
      <c r="U98" s="59"/>
      <c r="V98" s="59"/>
      <c r="W98" s="59"/>
      <c r="X98" s="59"/>
      <c r="Y98" s="59"/>
      <c r="Z98" s="59"/>
      <c r="AA98" s="59"/>
      <c r="AB98" s="59"/>
      <c r="AC98" s="59"/>
    </row>
    <row r="99" ht="22.5" customHeight="1">
      <c r="A99" s="100"/>
      <c r="B99" s="31" t="s">
        <v>71</v>
      </c>
      <c r="C99" s="32" t="s">
        <v>378</v>
      </c>
      <c r="D99" s="32" t="s">
        <v>222</v>
      </c>
      <c r="E99" s="34">
        <v>46195.0</v>
      </c>
      <c r="F99" s="31" t="s">
        <v>212</v>
      </c>
      <c r="G99" s="32" t="s">
        <v>187</v>
      </c>
      <c r="H99" s="48">
        <f>K99/1.19</f>
        <v>15580.84034</v>
      </c>
      <c r="I99" s="48">
        <f t="shared" si="31"/>
        <v>2960.359664</v>
      </c>
      <c r="J99" s="42">
        <v>0.0</v>
      </c>
      <c r="K99" s="102">
        <v>18541.2</v>
      </c>
      <c r="L99" s="49" t="s">
        <v>77</v>
      </c>
      <c r="M99" s="51" t="s">
        <v>37</v>
      </c>
      <c r="N99" s="49" t="s">
        <v>46</v>
      </c>
      <c r="O99" s="32" t="s">
        <v>222</v>
      </c>
      <c r="P99" s="104" t="s">
        <v>329</v>
      </c>
      <c r="Q99" s="57"/>
      <c r="R99" s="57"/>
      <c r="S99" s="49"/>
      <c r="T99" s="59"/>
      <c r="U99" s="59"/>
      <c r="V99" s="59"/>
      <c r="W99" s="59"/>
      <c r="X99" s="59"/>
      <c r="Y99" s="59"/>
      <c r="Z99" s="59"/>
      <c r="AA99" s="59"/>
      <c r="AB99" s="59"/>
      <c r="AC99" s="59"/>
    </row>
    <row r="100" ht="22.5" customHeight="1">
      <c r="A100" s="28" t="s">
        <v>177</v>
      </c>
      <c r="B100" s="31" t="s">
        <v>71</v>
      </c>
      <c r="C100" s="32">
        <v>5.3680645E7</v>
      </c>
      <c r="D100" s="32" t="s">
        <v>339</v>
      </c>
      <c r="E100" s="34">
        <v>46193.0</v>
      </c>
      <c r="F100" s="61"/>
      <c r="G100" s="63"/>
      <c r="H100" s="108" t="s">
        <v>275</v>
      </c>
      <c r="I100" s="109" t="s">
        <v>275</v>
      </c>
      <c r="J100" s="108" t="s">
        <v>275</v>
      </c>
      <c r="K100" s="109" t="s">
        <v>275</v>
      </c>
      <c r="L100" s="49" t="s">
        <v>77</v>
      </c>
      <c r="M100" s="51" t="s">
        <v>37</v>
      </c>
      <c r="N100" s="49" t="s">
        <v>46</v>
      </c>
      <c r="O100" s="49" t="s">
        <v>340</v>
      </c>
      <c r="P100" s="104" t="s">
        <v>379</v>
      </c>
      <c r="Q100" s="57"/>
      <c r="R100" s="57"/>
      <c r="S100" s="49" t="s">
        <v>66</v>
      </c>
      <c r="T100" s="59"/>
      <c r="U100" s="59"/>
      <c r="V100" s="59"/>
      <c r="W100" s="59"/>
      <c r="X100" s="59"/>
      <c r="Y100" s="59"/>
      <c r="Z100" s="59"/>
      <c r="AA100" s="59"/>
      <c r="AB100" s="59"/>
      <c r="AC100" s="59"/>
    </row>
    <row r="101" ht="22.5" customHeight="1">
      <c r="A101" s="28" t="s">
        <v>177</v>
      </c>
      <c r="B101" s="31" t="s">
        <v>71</v>
      </c>
      <c r="C101" s="32">
        <v>15539.0</v>
      </c>
      <c r="D101" s="32" t="s">
        <v>343</v>
      </c>
      <c r="E101" s="34">
        <v>46190.0</v>
      </c>
      <c r="F101" s="61"/>
      <c r="G101" s="32" t="s">
        <v>187</v>
      </c>
      <c r="H101" s="39">
        <v>71782.0</v>
      </c>
      <c r="I101" s="42">
        <v>13639.0</v>
      </c>
      <c r="J101" s="39">
        <v>0.0</v>
      </c>
      <c r="K101" s="48">
        <f t="shared" ref="K101:K104" si="32">H101+I101</f>
        <v>85421</v>
      </c>
      <c r="L101" s="49" t="s">
        <v>77</v>
      </c>
      <c r="M101" s="51" t="s">
        <v>37</v>
      </c>
      <c r="N101" s="49" t="s">
        <v>46</v>
      </c>
      <c r="O101" s="49" t="s">
        <v>344</v>
      </c>
      <c r="P101" s="56" t="s">
        <v>380</v>
      </c>
      <c r="Q101" s="57"/>
      <c r="R101" s="57"/>
      <c r="S101" s="49" t="s">
        <v>66</v>
      </c>
      <c r="T101" s="59"/>
      <c r="U101" s="59"/>
      <c r="V101" s="59"/>
      <c r="W101" s="59"/>
      <c r="X101" s="59"/>
      <c r="Y101" s="59"/>
      <c r="Z101" s="59"/>
      <c r="AA101" s="59"/>
      <c r="AB101" s="59"/>
      <c r="AC101" s="59"/>
    </row>
    <row r="102" ht="22.5" customHeight="1">
      <c r="A102" s="28" t="s">
        <v>177</v>
      </c>
      <c r="B102" s="31" t="s">
        <v>71</v>
      </c>
      <c r="C102" s="32" t="s">
        <v>381</v>
      </c>
      <c r="D102" s="32" t="s">
        <v>247</v>
      </c>
      <c r="E102" s="34">
        <v>46187.0</v>
      </c>
      <c r="F102" s="61"/>
      <c r="G102" s="63"/>
      <c r="H102" s="39">
        <v>18320.0</v>
      </c>
      <c r="I102" s="42">
        <v>3500.0</v>
      </c>
      <c r="J102" s="39">
        <v>0.0</v>
      </c>
      <c r="K102" s="48">
        <f t="shared" si="32"/>
        <v>21820</v>
      </c>
      <c r="L102" s="49" t="s">
        <v>77</v>
      </c>
      <c r="M102" s="51" t="s">
        <v>37</v>
      </c>
      <c r="N102" s="49" t="s">
        <v>46</v>
      </c>
      <c r="O102" s="49" t="s">
        <v>248</v>
      </c>
      <c r="P102" s="104" t="s">
        <v>382</v>
      </c>
      <c r="Q102" s="57"/>
      <c r="R102" s="57"/>
      <c r="S102" s="49" t="s">
        <v>66</v>
      </c>
      <c r="T102" s="59"/>
      <c r="U102" s="59"/>
      <c r="V102" s="59"/>
      <c r="W102" s="59"/>
      <c r="X102" s="59"/>
      <c r="Y102" s="59"/>
      <c r="Z102" s="59"/>
      <c r="AA102" s="59"/>
      <c r="AB102" s="59"/>
      <c r="AC102" s="59"/>
    </row>
    <row r="103" ht="22.5" customHeight="1">
      <c r="A103" s="28" t="s">
        <v>177</v>
      </c>
      <c r="B103" s="31" t="s">
        <v>71</v>
      </c>
      <c r="C103" s="32">
        <v>2.1418715E7</v>
      </c>
      <c r="D103" s="32" t="s">
        <v>296</v>
      </c>
      <c r="E103" s="34">
        <v>46178.0</v>
      </c>
      <c r="F103" s="61"/>
      <c r="G103" s="63"/>
      <c r="H103" s="39">
        <v>28033.0</v>
      </c>
      <c r="I103" s="42">
        <v>5326.0</v>
      </c>
      <c r="J103" s="39">
        <v>0.0</v>
      </c>
      <c r="K103" s="48">
        <f t="shared" si="32"/>
        <v>33359</v>
      </c>
      <c r="L103" s="49" t="s">
        <v>77</v>
      </c>
      <c r="M103" s="51" t="s">
        <v>37</v>
      </c>
      <c r="N103" s="49" t="s">
        <v>46</v>
      </c>
      <c r="O103" s="49" t="str">
        <f>O112</f>
        <v>Boleta de honorarios - Angel Hernan Pizarro</v>
      </c>
      <c r="P103" s="56" t="s">
        <v>383</v>
      </c>
      <c r="Q103" s="57"/>
      <c r="R103" s="57"/>
      <c r="S103" s="49" t="s">
        <v>66</v>
      </c>
      <c r="T103" s="59"/>
      <c r="U103" s="59"/>
      <c r="V103" s="59"/>
      <c r="W103" s="59"/>
      <c r="X103" s="59"/>
      <c r="Y103" s="59"/>
      <c r="Z103" s="59"/>
      <c r="AA103" s="59"/>
      <c r="AB103" s="59"/>
      <c r="AC103" s="59"/>
    </row>
    <row r="104" ht="22.5" customHeight="1">
      <c r="A104" s="28" t="s">
        <v>177</v>
      </c>
      <c r="B104" s="31" t="s">
        <v>71</v>
      </c>
      <c r="C104" s="32">
        <v>441377.0</v>
      </c>
      <c r="D104" s="32" t="s">
        <v>384</v>
      </c>
      <c r="E104" s="34">
        <v>46177.0</v>
      </c>
      <c r="F104" s="61"/>
      <c r="G104" s="32" t="s">
        <v>52</v>
      </c>
      <c r="H104" s="39">
        <v>51800.0</v>
      </c>
      <c r="I104" s="42">
        <v>9842.0</v>
      </c>
      <c r="J104" s="39">
        <v>0.0</v>
      </c>
      <c r="K104" s="48">
        <f t="shared" si="32"/>
        <v>61642</v>
      </c>
      <c r="L104" s="49" t="s">
        <v>77</v>
      </c>
      <c r="M104" s="51" t="s">
        <v>37</v>
      </c>
      <c r="N104" s="49" t="s">
        <v>44</v>
      </c>
      <c r="O104" s="49" t="s">
        <v>385</v>
      </c>
      <c r="P104" s="56" t="s">
        <v>386</v>
      </c>
      <c r="Q104" s="57"/>
      <c r="R104" s="57"/>
      <c r="S104" s="49" t="s">
        <v>66</v>
      </c>
      <c r="T104" s="59"/>
      <c r="U104" s="59"/>
      <c r="V104" s="59"/>
      <c r="W104" s="59"/>
      <c r="X104" s="59"/>
      <c r="Y104" s="59"/>
      <c r="Z104" s="59"/>
      <c r="AA104" s="59"/>
      <c r="AB104" s="59"/>
      <c r="AC104" s="59"/>
    </row>
    <row r="105" ht="22.5" customHeight="1">
      <c r="A105" s="100"/>
      <c r="B105" s="31" t="s">
        <v>71</v>
      </c>
      <c r="C105" s="32"/>
      <c r="D105" s="32" t="s">
        <v>361</v>
      </c>
      <c r="E105" s="34">
        <v>46177.0</v>
      </c>
      <c r="F105" s="31" t="s">
        <v>212</v>
      </c>
      <c r="G105" s="32" t="s">
        <v>52</v>
      </c>
      <c r="H105" s="88">
        <f t="shared" ref="H105:H111" si="33">K105/1.19</f>
        <v>41526.05042</v>
      </c>
      <c r="I105" s="48">
        <f t="shared" ref="I105:I111" si="34">H105*19%</f>
        <v>7889.94958</v>
      </c>
      <c r="J105" s="39"/>
      <c r="K105" s="102">
        <v>49416.0</v>
      </c>
      <c r="L105" s="49" t="s">
        <v>77</v>
      </c>
      <c r="M105" s="51" t="s">
        <v>37</v>
      </c>
      <c r="N105" s="49" t="s">
        <v>44</v>
      </c>
      <c r="O105" s="32" t="s">
        <v>361</v>
      </c>
      <c r="P105" s="56" t="s">
        <v>367</v>
      </c>
      <c r="Q105" s="57"/>
      <c r="R105" s="57"/>
      <c r="S105" s="4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</row>
    <row r="106" ht="22.5" customHeight="1">
      <c r="A106" s="100"/>
      <c r="B106" s="31" t="s">
        <v>71</v>
      </c>
      <c r="C106" s="32"/>
      <c r="D106" s="32" t="s">
        <v>387</v>
      </c>
      <c r="E106" s="34">
        <v>46177.0</v>
      </c>
      <c r="F106" s="31" t="s">
        <v>212</v>
      </c>
      <c r="G106" s="32" t="s">
        <v>52</v>
      </c>
      <c r="H106" s="88">
        <f t="shared" si="33"/>
        <v>1337339.496</v>
      </c>
      <c r="I106" s="48">
        <f t="shared" si="34"/>
        <v>254094.5042</v>
      </c>
      <c r="J106" s="39">
        <v>0.0</v>
      </c>
      <c r="K106" s="102">
        <v>1591434.0</v>
      </c>
      <c r="L106" s="49" t="s">
        <v>77</v>
      </c>
      <c r="M106" s="51" t="s">
        <v>36</v>
      </c>
      <c r="N106" s="49" t="s">
        <v>44</v>
      </c>
      <c r="O106" s="32" t="s">
        <v>387</v>
      </c>
      <c r="P106" s="56" t="s">
        <v>367</v>
      </c>
      <c r="Q106" s="57"/>
      <c r="R106" s="57"/>
      <c r="S106" s="4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</row>
    <row r="107" ht="22.5" customHeight="1">
      <c r="A107" s="100"/>
      <c r="B107" s="31" t="s">
        <v>71</v>
      </c>
      <c r="C107" s="32"/>
      <c r="D107" s="32" t="s">
        <v>388</v>
      </c>
      <c r="E107" s="34">
        <v>46177.0</v>
      </c>
      <c r="F107" s="31" t="s">
        <v>212</v>
      </c>
      <c r="G107" s="32" t="s">
        <v>52</v>
      </c>
      <c r="H107" s="88">
        <f t="shared" si="33"/>
        <v>4385042.017</v>
      </c>
      <c r="I107" s="48">
        <f t="shared" si="34"/>
        <v>833157.9832</v>
      </c>
      <c r="J107" s="39">
        <v>0.0</v>
      </c>
      <c r="K107" s="102">
        <v>5218200.0</v>
      </c>
      <c r="L107" s="49" t="s">
        <v>77</v>
      </c>
      <c r="M107" s="51" t="s">
        <v>36</v>
      </c>
      <c r="N107" s="49" t="s">
        <v>44</v>
      </c>
      <c r="O107" s="32" t="s">
        <v>388</v>
      </c>
      <c r="P107" s="56" t="s">
        <v>367</v>
      </c>
      <c r="Q107" s="57"/>
      <c r="R107" s="57"/>
      <c r="S107" s="4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</row>
    <row r="108" ht="22.5" customHeight="1">
      <c r="A108" s="100"/>
      <c r="B108" s="31" t="s">
        <v>71</v>
      </c>
      <c r="C108" s="32"/>
      <c r="D108" s="32" t="s">
        <v>389</v>
      </c>
      <c r="E108" s="34">
        <v>46175.0</v>
      </c>
      <c r="F108" s="31" t="s">
        <v>212</v>
      </c>
      <c r="G108" s="32" t="s">
        <v>52</v>
      </c>
      <c r="H108" s="88">
        <f t="shared" si="33"/>
        <v>50984.03361</v>
      </c>
      <c r="I108" s="48">
        <f t="shared" si="34"/>
        <v>9686.966387</v>
      </c>
      <c r="J108" s="39">
        <v>0.0</v>
      </c>
      <c r="K108" s="102">
        <v>60671.0</v>
      </c>
      <c r="L108" s="49" t="s">
        <v>77</v>
      </c>
      <c r="M108" s="51" t="s">
        <v>37</v>
      </c>
      <c r="N108" s="49" t="s">
        <v>44</v>
      </c>
      <c r="O108" s="32" t="s">
        <v>389</v>
      </c>
      <c r="P108" s="56" t="s">
        <v>367</v>
      </c>
      <c r="Q108" s="57"/>
      <c r="R108" s="57"/>
      <c r="S108" s="4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</row>
    <row r="109" ht="22.5" customHeight="1">
      <c r="A109" s="100"/>
      <c r="B109" s="31" t="s">
        <v>71</v>
      </c>
      <c r="C109" s="32"/>
      <c r="D109" s="32" t="s">
        <v>390</v>
      </c>
      <c r="E109" s="34">
        <v>46175.0</v>
      </c>
      <c r="F109" s="31" t="s">
        <v>212</v>
      </c>
      <c r="G109" s="32" t="s">
        <v>52</v>
      </c>
      <c r="H109" s="88">
        <f t="shared" si="33"/>
        <v>41526.05042</v>
      </c>
      <c r="I109" s="48">
        <f t="shared" si="34"/>
        <v>7889.94958</v>
      </c>
      <c r="J109" s="39">
        <v>0.0</v>
      </c>
      <c r="K109" s="102">
        <v>49416.0</v>
      </c>
      <c r="L109" s="49" t="s">
        <v>77</v>
      </c>
      <c r="M109" s="51" t="s">
        <v>37</v>
      </c>
      <c r="N109" s="49" t="s">
        <v>44</v>
      </c>
      <c r="O109" s="32" t="s">
        <v>390</v>
      </c>
      <c r="P109" s="56" t="s">
        <v>367</v>
      </c>
      <c r="Q109" s="57"/>
      <c r="R109" s="57"/>
      <c r="S109" s="4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</row>
    <row r="110" ht="22.5" customHeight="1">
      <c r="A110" s="100"/>
      <c r="B110" s="31" t="s">
        <v>71</v>
      </c>
      <c r="C110" s="32"/>
      <c r="D110" s="32" t="s">
        <v>391</v>
      </c>
      <c r="E110" s="34">
        <v>46175.0</v>
      </c>
      <c r="F110" s="31" t="s">
        <v>212</v>
      </c>
      <c r="G110" s="32" t="s">
        <v>52</v>
      </c>
      <c r="H110" s="88">
        <f t="shared" si="33"/>
        <v>92584.03361</v>
      </c>
      <c r="I110" s="48">
        <f t="shared" si="34"/>
        <v>17590.96639</v>
      </c>
      <c r="J110" s="39">
        <v>0.0</v>
      </c>
      <c r="K110" s="102">
        <v>110175.0</v>
      </c>
      <c r="L110" s="49" t="s">
        <v>77</v>
      </c>
      <c r="M110" s="51" t="s">
        <v>36</v>
      </c>
      <c r="N110" s="49" t="s">
        <v>44</v>
      </c>
      <c r="O110" s="32" t="s">
        <v>391</v>
      </c>
      <c r="P110" s="56" t="s">
        <v>367</v>
      </c>
      <c r="Q110" s="57"/>
      <c r="R110" s="57"/>
      <c r="S110" s="4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</row>
    <row r="111" ht="22.5" customHeight="1">
      <c r="A111" s="100"/>
      <c r="B111" s="31" t="s">
        <v>71</v>
      </c>
      <c r="C111" s="32"/>
      <c r="D111" s="32" t="s">
        <v>392</v>
      </c>
      <c r="E111" s="34">
        <v>46174.0</v>
      </c>
      <c r="F111" s="31" t="s">
        <v>212</v>
      </c>
      <c r="G111" s="32" t="s">
        <v>52</v>
      </c>
      <c r="H111" s="88">
        <f t="shared" si="33"/>
        <v>31.09243697</v>
      </c>
      <c r="I111" s="48">
        <f t="shared" si="34"/>
        <v>5.907563025</v>
      </c>
      <c r="J111" s="39">
        <v>0.0</v>
      </c>
      <c r="K111" s="102">
        <v>37.0</v>
      </c>
      <c r="L111" s="49" t="s">
        <v>77</v>
      </c>
      <c r="M111" s="51" t="s">
        <v>37</v>
      </c>
      <c r="N111" s="49" t="s">
        <v>44</v>
      </c>
      <c r="O111" s="32" t="s">
        <v>392</v>
      </c>
      <c r="P111" s="56" t="s">
        <v>393</v>
      </c>
      <c r="Q111" s="57"/>
      <c r="R111" s="57"/>
      <c r="S111" s="4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</row>
    <row r="112" ht="22.5" customHeight="1">
      <c r="A112" s="28" t="s">
        <v>40</v>
      </c>
      <c r="B112" s="31" t="s">
        <v>48</v>
      </c>
      <c r="C112" s="32">
        <v>4.0</v>
      </c>
      <c r="D112" s="32" t="s">
        <v>317</v>
      </c>
      <c r="E112" s="34">
        <v>46171.0</v>
      </c>
      <c r="F112" s="31" t="s">
        <v>51</v>
      </c>
      <c r="G112" s="32" t="s">
        <v>52</v>
      </c>
      <c r="H112" s="39">
        <v>650000.0</v>
      </c>
      <c r="I112" s="42">
        <v>0.0</v>
      </c>
      <c r="J112" s="39">
        <v>116962.0</v>
      </c>
      <c r="K112" s="48">
        <f t="shared" ref="K112:K114" si="35">H112+J112</f>
        <v>766962</v>
      </c>
      <c r="L112" s="49" t="s">
        <v>77</v>
      </c>
      <c r="M112" s="51" t="s">
        <v>37</v>
      </c>
      <c r="N112" s="49" t="s">
        <v>46</v>
      </c>
      <c r="O112" s="49" t="s">
        <v>318</v>
      </c>
      <c r="P112" s="56" t="s">
        <v>394</v>
      </c>
      <c r="Q112" s="57"/>
      <c r="R112" s="57"/>
      <c r="S112" s="49" t="s">
        <v>66</v>
      </c>
      <c r="T112" s="59"/>
      <c r="U112" s="59"/>
      <c r="V112" s="59"/>
      <c r="W112" s="59"/>
      <c r="X112" s="59"/>
      <c r="Y112" s="59"/>
      <c r="Z112" s="59"/>
      <c r="AA112" s="59"/>
      <c r="AB112" s="59"/>
      <c r="AC112" s="59"/>
    </row>
    <row r="113" ht="22.5" customHeight="1">
      <c r="A113" s="28" t="s">
        <v>40</v>
      </c>
      <c r="B113" s="31" t="s">
        <v>48</v>
      </c>
      <c r="C113" s="32">
        <v>89.0</v>
      </c>
      <c r="D113" s="32" t="s">
        <v>320</v>
      </c>
      <c r="E113" s="34">
        <v>46171.0</v>
      </c>
      <c r="F113" s="31" t="s">
        <v>51</v>
      </c>
      <c r="G113" s="32" t="s">
        <v>52</v>
      </c>
      <c r="H113" s="39">
        <v>142857.0</v>
      </c>
      <c r="I113" s="42">
        <v>0.0</v>
      </c>
      <c r="J113" s="39">
        <v>25706.0</v>
      </c>
      <c r="K113" s="48">
        <f t="shared" si="35"/>
        <v>168563</v>
      </c>
      <c r="L113" s="49" t="s">
        <v>54</v>
      </c>
      <c r="M113" s="51" t="s">
        <v>38</v>
      </c>
      <c r="N113" s="49" t="s">
        <v>46</v>
      </c>
      <c r="O113" s="49" t="s">
        <v>321</v>
      </c>
      <c r="P113" s="56" t="s">
        <v>395</v>
      </c>
      <c r="Q113" s="57"/>
      <c r="R113" s="57"/>
      <c r="S113" s="49" t="s">
        <v>66</v>
      </c>
      <c r="T113" s="59"/>
      <c r="U113" s="59"/>
      <c r="V113" s="59"/>
      <c r="W113" s="59"/>
      <c r="X113" s="59"/>
      <c r="Y113" s="59"/>
      <c r="Z113" s="59"/>
      <c r="AA113" s="59"/>
      <c r="AB113" s="59"/>
      <c r="AC113" s="59"/>
    </row>
    <row r="114" ht="22.5" customHeight="1">
      <c r="A114" s="28" t="s">
        <v>40</v>
      </c>
      <c r="B114" s="31" t="s">
        <v>48</v>
      </c>
      <c r="C114" s="32">
        <v>16.0</v>
      </c>
      <c r="D114" s="32" t="s">
        <v>369</v>
      </c>
      <c r="E114" s="34">
        <v>46167.0</v>
      </c>
      <c r="F114" s="31" t="s">
        <v>51</v>
      </c>
      <c r="G114" s="32" t="s">
        <v>52</v>
      </c>
      <c r="H114" s="39">
        <v>275000.0</v>
      </c>
      <c r="I114" s="42">
        <v>0.0</v>
      </c>
      <c r="J114" s="39">
        <v>49484.0</v>
      </c>
      <c r="K114" s="48">
        <f t="shared" si="35"/>
        <v>324484</v>
      </c>
      <c r="L114" s="49" t="s">
        <v>77</v>
      </c>
      <c r="M114" s="51" t="s">
        <v>37</v>
      </c>
      <c r="N114" s="49" t="s">
        <v>46</v>
      </c>
      <c r="O114" s="49" t="s">
        <v>370</v>
      </c>
      <c r="P114" s="56" t="s">
        <v>396</v>
      </c>
      <c r="Q114" s="57"/>
      <c r="R114" s="57"/>
      <c r="S114" s="49" t="s">
        <v>66</v>
      </c>
      <c r="T114" s="59"/>
      <c r="U114" s="59"/>
      <c r="V114" s="59"/>
      <c r="W114" s="59"/>
      <c r="X114" s="59"/>
      <c r="Y114" s="59"/>
      <c r="Z114" s="59"/>
      <c r="AA114" s="59"/>
      <c r="AB114" s="59"/>
      <c r="AC114" s="59"/>
    </row>
    <row r="115" ht="22.5" customHeight="1">
      <c r="A115" s="28" t="s">
        <v>177</v>
      </c>
      <c r="B115" s="31" t="s">
        <v>71</v>
      </c>
      <c r="C115" s="32">
        <v>5.3442241E7</v>
      </c>
      <c r="D115" s="63" t="str">
        <f>D116</f>
        <v>Suscripcion mensual</v>
      </c>
      <c r="E115" s="34">
        <v>46162.0</v>
      </c>
      <c r="F115" s="61"/>
      <c r="G115" s="63"/>
      <c r="H115" s="98" t="s">
        <v>72</v>
      </c>
      <c r="I115" s="99" t="s">
        <v>72</v>
      </c>
      <c r="J115" s="106"/>
      <c r="K115" s="99" t="s">
        <v>297</v>
      </c>
      <c r="L115" s="49" t="s">
        <v>77</v>
      </c>
      <c r="M115" s="51" t="s">
        <v>37</v>
      </c>
      <c r="N115" s="49" t="s">
        <v>46</v>
      </c>
      <c r="O115" s="57" t="str">
        <f>O116</f>
        <v>Pago credito </v>
      </c>
      <c r="P115" s="56" t="s">
        <v>397</v>
      </c>
      <c r="Q115" s="57"/>
      <c r="R115" s="57"/>
      <c r="S115" s="49" t="s">
        <v>66</v>
      </c>
      <c r="T115" s="59"/>
      <c r="U115" s="59"/>
      <c r="V115" s="59"/>
      <c r="W115" s="59"/>
      <c r="X115" s="59"/>
      <c r="Y115" s="59"/>
      <c r="Z115" s="59"/>
      <c r="AA115" s="59"/>
      <c r="AB115" s="59"/>
      <c r="AC115" s="59"/>
    </row>
    <row r="116" ht="22.5" customHeight="1">
      <c r="A116" s="28" t="s">
        <v>177</v>
      </c>
      <c r="B116" s="31" t="s">
        <v>71</v>
      </c>
      <c r="C116" s="32">
        <v>15010.0</v>
      </c>
      <c r="D116" s="32" t="s">
        <v>343</v>
      </c>
      <c r="E116" s="34">
        <v>46162.0</v>
      </c>
      <c r="F116" s="61"/>
      <c r="G116" s="32" t="s">
        <v>187</v>
      </c>
      <c r="H116" s="39">
        <v>71148.0</v>
      </c>
      <c r="I116" s="42">
        <v>13518.0</v>
      </c>
      <c r="J116" s="39">
        <v>0.0</v>
      </c>
      <c r="K116" s="48">
        <f>H116+I116</f>
        <v>84666</v>
      </c>
      <c r="L116" s="49" t="s">
        <v>77</v>
      </c>
      <c r="M116" s="51" t="s">
        <v>37</v>
      </c>
      <c r="N116" s="49" t="s">
        <v>46</v>
      </c>
      <c r="O116" s="49" t="s">
        <v>344</v>
      </c>
      <c r="P116" s="56" t="s">
        <v>398</v>
      </c>
      <c r="Q116" s="57"/>
      <c r="R116" s="57"/>
      <c r="S116" s="49" t="s">
        <v>66</v>
      </c>
      <c r="T116" s="59"/>
      <c r="U116" s="59"/>
      <c r="V116" s="59"/>
      <c r="W116" s="59"/>
      <c r="X116" s="59"/>
      <c r="Y116" s="59"/>
      <c r="Z116" s="59"/>
      <c r="AA116" s="59"/>
      <c r="AB116" s="59"/>
      <c r="AC116" s="59"/>
    </row>
    <row r="117" ht="28.5" customHeight="1">
      <c r="A117" s="100"/>
      <c r="B117" s="31" t="s">
        <v>71</v>
      </c>
      <c r="C117" s="32" t="s">
        <v>399</v>
      </c>
      <c r="D117" s="101" t="s">
        <v>400</v>
      </c>
      <c r="E117" s="34">
        <v>46157.0</v>
      </c>
      <c r="F117" s="31" t="s">
        <v>212</v>
      </c>
      <c r="G117" s="32" t="s">
        <v>187</v>
      </c>
      <c r="H117" s="48">
        <f>K117/1.19</f>
        <v>18541.20168</v>
      </c>
      <c r="I117" s="48">
        <f>H117*19%</f>
        <v>3522.828319</v>
      </c>
      <c r="J117" s="42">
        <v>0.0</v>
      </c>
      <c r="K117" s="102">
        <v>22064.03</v>
      </c>
      <c r="L117" s="49" t="s">
        <v>77</v>
      </c>
      <c r="M117" s="51" t="s">
        <v>37</v>
      </c>
      <c r="N117" s="49" t="s">
        <v>46</v>
      </c>
      <c r="O117" s="101" t="s">
        <v>401</v>
      </c>
      <c r="P117" s="56" t="s">
        <v>402</v>
      </c>
      <c r="Q117" s="57"/>
      <c r="R117" s="57"/>
      <c r="S117" s="4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</row>
    <row r="118" ht="28.5" customHeight="1">
      <c r="A118" s="28" t="s">
        <v>177</v>
      </c>
      <c r="B118" s="31" t="s">
        <v>71</v>
      </c>
      <c r="C118" s="32" t="s">
        <v>403</v>
      </c>
      <c r="D118" s="32" t="s">
        <v>247</v>
      </c>
      <c r="E118" s="34">
        <v>46156.0</v>
      </c>
      <c r="F118" s="61"/>
      <c r="G118" s="63"/>
      <c r="H118" s="39">
        <v>18320.0</v>
      </c>
      <c r="I118" s="42">
        <v>3500.0</v>
      </c>
      <c r="J118" s="39">
        <v>0.0</v>
      </c>
      <c r="K118" s="48">
        <f t="shared" ref="K118:K120" si="36">H118+I118</f>
        <v>21820</v>
      </c>
      <c r="L118" s="49" t="s">
        <v>77</v>
      </c>
      <c r="M118" s="51" t="s">
        <v>37</v>
      </c>
      <c r="N118" s="49" t="s">
        <v>46</v>
      </c>
      <c r="O118" s="49" t="s">
        <v>248</v>
      </c>
      <c r="P118" s="104" t="s">
        <v>404</v>
      </c>
      <c r="Q118" s="57"/>
      <c r="R118" s="57"/>
      <c r="S118" s="49" t="s">
        <v>66</v>
      </c>
      <c r="T118" s="59"/>
      <c r="U118" s="59"/>
      <c r="V118" s="59"/>
      <c r="W118" s="59"/>
      <c r="X118" s="59"/>
      <c r="Y118" s="59"/>
      <c r="Z118" s="59"/>
      <c r="AA118" s="59"/>
      <c r="AB118" s="59"/>
      <c r="AC118" s="59"/>
    </row>
    <row r="119" ht="22.5" customHeight="1">
      <c r="A119" s="28" t="s">
        <v>148</v>
      </c>
      <c r="B119" s="31" t="s">
        <v>71</v>
      </c>
      <c r="C119" s="32">
        <v>476667.0</v>
      </c>
      <c r="D119" s="32" t="s">
        <v>405</v>
      </c>
      <c r="E119" s="34">
        <v>46153.0</v>
      </c>
      <c r="F119" s="61"/>
      <c r="G119" s="63"/>
      <c r="H119" s="39">
        <v>1260.0</v>
      </c>
      <c r="I119" s="42">
        <v>240.0</v>
      </c>
      <c r="J119" s="39">
        <v>0.0</v>
      </c>
      <c r="K119" s="48">
        <f t="shared" si="36"/>
        <v>1500</v>
      </c>
      <c r="L119" s="49" t="s">
        <v>53</v>
      </c>
      <c r="M119" s="51" t="s">
        <v>38</v>
      </c>
      <c r="N119" s="49" t="s">
        <v>44</v>
      </c>
      <c r="O119" s="49" t="s">
        <v>254</v>
      </c>
      <c r="P119" s="56" t="s">
        <v>406</v>
      </c>
      <c r="Q119" s="57"/>
      <c r="R119" s="57"/>
      <c r="S119" s="49" t="s">
        <v>66</v>
      </c>
      <c r="T119" s="59"/>
      <c r="U119" s="59"/>
      <c r="V119" s="59"/>
      <c r="W119" s="59"/>
      <c r="X119" s="59"/>
      <c r="Y119" s="59"/>
      <c r="Z119" s="59"/>
      <c r="AA119" s="59"/>
      <c r="AB119" s="59"/>
      <c r="AC119" s="59"/>
    </row>
    <row r="120" ht="22.5" customHeight="1">
      <c r="A120" s="28" t="s">
        <v>148</v>
      </c>
      <c r="B120" s="31" t="s">
        <v>71</v>
      </c>
      <c r="C120" s="32">
        <v>476672.0</v>
      </c>
      <c r="D120" s="32" t="s">
        <v>405</v>
      </c>
      <c r="E120" s="34">
        <v>46153.0</v>
      </c>
      <c r="F120" s="61"/>
      <c r="G120" s="63"/>
      <c r="H120" s="39">
        <v>2437.0</v>
      </c>
      <c r="I120" s="42">
        <v>463.0</v>
      </c>
      <c r="J120" s="39">
        <v>0.0</v>
      </c>
      <c r="K120" s="48">
        <f t="shared" si="36"/>
        <v>2900</v>
      </c>
      <c r="L120" s="49" t="s">
        <v>53</v>
      </c>
      <c r="M120" s="51" t="s">
        <v>38</v>
      </c>
      <c r="N120" s="49" t="s">
        <v>44</v>
      </c>
      <c r="O120" s="49" t="s">
        <v>254</v>
      </c>
      <c r="P120" s="56" t="s">
        <v>407</v>
      </c>
      <c r="Q120" s="57"/>
      <c r="R120" s="57"/>
      <c r="S120" s="49" t="s">
        <v>66</v>
      </c>
      <c r="T120" s="59"/>
      <c r="U120" s="59"/>
      <c r="V120" s="59"/>
      <c r="W120" s="59"/>
      <c r="X120" s="59"/>
      <c r="Y120" s="59"/>
      <c r="Z120" s="59"/>
      <c r="AA120" s="59"/>
      <c r="AB120" s="59"/>
      <c r="AC120" s="59"/>
    </row>
    <row r="121" ht="22.5" customHeight="1">
      <c r="A121" s="100"/>
      <c r="B121" s="31" t="s">
        <v>71</v>
      </c>
      <c r="C121" s="32"/>
      <c r="D121" s="32" t="s">
        <v>408</v>
      </c>
      <c r="E121" s="34">
        <v>46150.0</v>
      </c>
      <c r="F121" s="31" t="s">
        <v>212</v>
      </c>
      <c r="G121" s="32" t="s">
        <v>52</v>
      </c>
      <c r="H121" s="88">
        <f t="shared" ref="H121:H130" si="37">K121/1.19</f>
        <v>46935.29412</v>
      </c>
      <c r="I121" s="48">
        <f t="shared" ref="I121:I130" si="38">H121*19%</f>
        <v>8917.705882</v>
      </c>
      <c r="J121" s="39">
        <v>0.0</v>
      </c>
      <c r="K121" s="102">
        <v>55853.0</v>
      </c>
      <c r="L121" s="49" t="s">
        <v>77</v>
      </c>
      <c r="M121" s="51" t="s">
        <v>37</v>
      </c>
      <c r="N121" s="49" t="s">
        <v>44</v>
      </c>
      <c r="O121" s="49" t="s">
        <v>408</v>
      </c>
      <c r="P121" s="56" t="s">
        <v>393</v>
      </c>
      <c r="Q121" s="57"/>
      <c r="R121" s="57"/>
      <c r="S121" s="4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</row>
    <row r="122" ht="22.5" customHeight="1">
      <c r="A122" s="100"/>
      <c r="B122" s="31" t="s">
        <v>71</v>
      </c>
      <c r="C122" s="32"/>
      <c r="D122" s="32" t="s">
        <v>391</v>
      </c>
      <c r="E122" s="34">
        <v>46150.0</v>
      </c>
      <c r="F122" s="31" t="s">
        <v>212</v>
      </c>
      <c r="G122" s="32" t="s">
        <v>52</v>
      </c>
      <c r="H122" s="88">
        <f t="shared" si="37"/>
        <v>840.3361345</v>
      </c>
      <c r="I122" s="48">
        <f t="shared" si="38"/>
        <v>159.6638655</v>
      </c>
      <c r="J122" s="39">
        <v>0.0</v>
      </c>
      <c r="K122" s="102">
        <v>1000.0</v>
      </c>
      <c r="L122" s="49" t="s">
        <v>77</v>
      </c>
      <c r="M122" s="51" t="s">
        <v>36</v>
      </c>
      <c r="N122" s="49" t="s">
        <v>44</v>
      </c>
      <c r="O122" s="49" t="s">
        <v>391</v>
      </c>
      <c r="P122" s="56" t="s">
        <v>393</v>
      </c>
      <c r="Q122" s="57"/>
      <c r="R122" s="57"/>
      <c r="S122" s="4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</row>
    <row r="123" ht="22.5" customHeight="1">
      <c r="A123" s="100"/>
      <c r="B123" s="31" t="s">
        <v>71</v>
      </c>
      <c r="C123" s="32"/>
      <c r="D123" s="32" t="s">
        <v>391</v>
      </c>
      <c r="E123" s="34">
        <v>46150.0</v>
      </c>
      <c r="F123" s="31" t="s">
        <v>212</v>
      </c>
      <c r="G123" s="32" t="s">
        <v>52</v>
      </c>
      <c r="H123" s="88">
        <f t="shared" si="37"/>
        <v>46829.41176</v>
      </c>
      <c r="I123" s="48">
        <f t="shared" si="38"/>
        <v>8897.588235</v>
      </c>
      <c r="J123" s="39">
        <v>0.0</v>
      </c>
      <c r="K123" s="102">
        <v>55727.0</v>
      </c>
      <c r="L123" s="49" t="s">
        <v>77</v>
      </c>
      <c r="M123" s="51" t="s">
        <v>36</v>
      </c>
      <c r="N123" s="49" t="s">
        <v>44</v>
      </c>
      <c r="O123" s="49" t="s">
        <v>391</v>
      </c>
      <c r="P123" s="56" t="s">
        <v>393</v>
      </c>
      <c r="Q123" s="57"/>
      <c r="R123" s="57"/>
      <c r="S123" s="4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</row>
    <row r="124" ht="22.5" customHeight="1">
      <c r="A124" s="100"/>
      <c r="B124" s="31" t="s">
        <v>71</v>
      </c>
      <c r="C124" s="32" t="s">
        <v>409</v>
      </c>
      <c r="D124" s="32" t="s">
        <v>304</v>
      </c>
      <c r="E124" s="34">
        <v>46148.0</v>
      </c>
      <c r="F124" s="31" t="s">
        <v>212</v>
      </c>
      <c r="G124" s="32" t="s">
        <v>187</v>
      </c>
      <c r="H124" s="48">
        <f t="shared" si="37"/>
        <v>34122.04202</v>
      </c>
      <c r="I124" s="48">
        <f t="shared" si="38"/>
        <v>6483.187983</v>
      </c>
      <c r="J124" s="42">
        <v>0.0</v>
      </c>
      <c r="K124" s="102">
        <v>40605.23</v>
      </c>
      <c r="L124" s="49" t="s">
        <v>77</v>
      </c>
      <c r="M124" s="51" t="s">
        <v>37</v>
      </c>
      <c r="N124" s="49" t="s">
        <v>44</v>
      </c>
      <c r="O124" s="32" t="s">
        <v>304</v>
      </c>
      <c r="P124" s="56" t="s">
        <v>402</v>
      </c>
      <c r="Q124" s="57"/>
      <c r="R124" s="57"/>
      <c r="S124" s="4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</row>
    <row r="125" ht="22.5" customHeight="1">
      <c r="A125" s="100"/>
      <c r="B125" s="31" t="s">
        <v>71</v>
      </c>
      <c r="C125" s="32"/>
      <c r="D125" s="32" t="s">
        <v>410</v>
      </c>
      <c r="E125" s="34">
        <v>46148.0</v>
      </c>
      <c r="F125" s="31" t="s">
        <v>212</v>
      </c>
      <c r="G125" s="32" t="s">
        <v>52</v>
      </c>
      <c r="H125" s="88">
        <f t="shared" si="37"/>
        <v>46829.41176</v>
      </c>
      <c r="I125" s="48">
        <f t="shared" si="38"/>
        <v>8897.588235</v>
      </c>
      <c r="J125" s="39">
        <v>0.0</v>
      </c>
      <c r="K125" s="102">
        <v>55727.0</v>
      </c>
      <c r="L125" s="49" t="s">
        <v>77</v>
      </c>
      <c r="M125" s="51" t="s">
        <v>36</v>
      </c>
      <c r="N125" s="49" t="s">
        <v>44</v>
      </c>
      <c r="O125" s="49" t="s">
        <v>410</v>
      </c>
      <c r="P125" s="56" t="s">
        <v>393</v>
      </c>
      <c r="Q125" s="57"/>
      <c r="R125" s="57"/>
      <c r="S125" s="4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</row>
    <row r="126" ht="22.5" customHeight="1">
      <c r="A126" s="100"/>
      <c r="B126" s="31" t="s">
        <v>71</v>
      </c>
      <c r="C126" s="32"/>
      <c r="D126" s="32" t="s">
        <v>411</v>
      </c>
      <c r="E126" s="34">
        <v>46148.0</v>
      </c>
      <c r="F126" s="31" t="s">
        <v>212</v>
      </c>
      <c r="G126" s="32" t="s">
        <v>52</v>
      </c>
      <c r="H126" s="88">
        <f t="shared" si="37"/>
        <v>87788.23529</v>
      </c>
      <c r="I126" s="48">
        <f t="shared" si="38"/>
        <v>16679.76471</v>
      </c>
      <c r="J126" s="39">
        <v>0.0</v>
      </c>
      <c r="K126" s="102">
        <v>104468.0</v>
      </c>
      <c r="L126" s="49" t="s">
        <v>77</v>
      </c>
      <c r="M126" s="51" t="s">
        <v>37</v>
      </c>
      <c r="N126" s="49" t="s">
        <v>44</v>
      </c>
      <c r="O126" s="49" t="s">
        <v>411</v>
      </c>
      <c r="P126" s="56" t="s">
        <v>393</v>
      </c>
      <c r="Q126" s="57"/>
      <c r="R126" s="57"/>
      <c r="S126" s="4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</row>
    <row r="127" ht="22.5" customHeight="1">
      <c r="A127" s="100"/>
      <c r="B127" s="31" t="s">
        <v>71</v>
      </c>
      <c r="C127" s="32"/>
      <c r="D127" s="32" t="s">
        <v>412</v>
      </c>
      <c r="E127" s="34">
        <v>46148.0</v>
      </c>
      <c r="F127" s="31" t="s">
        <v>212</v>
      </c>
      <c r="G127" s="32" t="s">
        <v>52</v>
      </c>
      <c r="H127" s="88">
        <f t="shared" si="37"/>
        <v>1332674.79</v>
      </c>
      <c r="I127" s="48">
        <f t="shared" si="38"/>
        <v>253208.2101</v>
      </c>
      <c r="J127" s="39">
        <v>0.0</v>
      </c>
      <c r="K127" s="102">
        <v>1585883.0</v>
      </c>
      <c r="L127" s="49" t="s">
        <v>77</v>
      </c>
      <c r="M127" s="51" t="s">
        <v>37</v>
      </c>
      <c r="N127" s="49" t="s">
        <v>44</v>
      </c>
      <c r="O127" s="49" t="s">
        <v>412</v>
      </c>
      <c r="P127" s="56" t="s">
        <v>393</v>
      </c>
      <c r="Q127" s="57"/>
      <c r="R127" s="57"/>
      <c r="S127" s="4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</row>
    <row r="128" ht="22.5" customHeight="1">
      <c r="A128" s="100"/>
      <c r="B128" s="31" t="s">
        <v>71</v>
      </c>
      <c r="C128" s="32"/>
      <c r="D128" s="32" t="s">
        <v>413</v>
      </c>
      <c r="E128" s="34">
        <v>46148.0</v>
      </c>
      <c r="F128" s="31" t="s">
        <v>212</v>
      </c>
      <c r="G128" s="32" t="s">
        <v>52</v>
      </c>
      <c r="H128" s="88">
        <f t="shared" si="37"/>
        <v>504201.6807</v>
      </c>
      <c r="I128" s="48">
        <f t="shared" si="38"/>
        <v>95798.31933</v>
      </c>
      <c r="J128" s="39">
        <v>0.0</v>
      </c>
      <c r="K128" s="102">
        <v>600000.0</v>
      </c>
      <c r="L128" s="49" t="s">
        <v>77</v>
      </c>
      <c r="M128" s="51" t="s">
        <v>36</v>
      </c>
      <c r="N128" s="49" t="s">
        <v>44</v>
      </c>
      <c r="O128" s="49" t="s">
        <v>413</v>
      </c>
      <c r="P128" s="56" t="s">
        <v>393</v>
      </c>
      <c r="Q128" s="57"/>
      <c r="R128" s="57"/>
      <c r="S128" s="4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</row>
    <row r="129" ht="22.5" customHeight="1">
      <c r="A129" s="100"/>
      <c r="B129" s="31" t="s">
        <v>71</v>
      </c>
      <c r="C129" s="32"/>
      <c r="D129" s="32" t="s">
        <v>412</v>
      </c>
      <c r="E129" s="34">
        <v>46148.0</v>
      </c>
      <c r="F129" s="31" t="s">
        <v>212</v>
      </c>
      <c r="G129" s="32" t="s">
        <v>52</v>
      </c>
      <c r="H129" s="88">
        <f t="shared" si="37"/>
        <v>4369747.899</v>
      </c>
      <c r="I129" s="48">
        <f t="shared" si="38"/>
        <v>830252.1008</v>
      </c>
      <c r="J129" s="39">
        <v>0.0</v>
      </c>
      <c r="K129" s="102">
        <v>5200000.0</v>
      </c>
      <c r="L129" s="49" t="s">
        <v>77</v>
      </c>
      <c r="M129" s="51" t="s">
        <v>37</v>
      </c>
      <c r="N129" s="49" t="s">
        <v>44</v>
      </c>
      <c r="O129" s="49" t="s">
        <v>412</v>
      </c>
      <c r="P129" s="56" t="s">
        <v>393</v>
      </c>
      <c r="Q129" s="57"/>
      <c r="R129" s="57"/>
      <c r="S129" s="4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</row>
    <row r="130" ht="22.5" customHeight="1">
      <c r="A130" s="100"/>
      <c r="B130" s="31" t="s">
        <v>71</v>
      </c>
      <c r="C130" s="32"/>
      <c r="D130" s="32" t="s">
        <v>413</v>
      </c>
      <c r="E130" s="34">
        <v>46148.0</v>
      </c>
      <c r="F130" s="31" t="s">
        <v>212</v>
      </c>
      <c r="G130" s="32" t="s">
        <v>52</v>
      </c>
      <c r="H130" s="88">
        <f t="shared" si="37"/>
        <v>1008403.361</v>
      </c>
      <c r="I130" s="48">
        <f t="shared" si="38"/>
        <v>191596.6387</v>
      </c>
      <c r="J130" s="39">
        <v>0.0</v>
      </c>
      <c r="K130" s="102">
        <v>1200000.0</v>
      </c>
      <c r="L130" s="49" t="s">
        <v>77</v>
      </c>
      <c r="M130" s="51" t="s">
        <v>36</v>
      </c>
      <c r="N130" s="49" t="s">
        <v>44</v>
      </c>
      <c r="O130" s="49" t="s">
        <v>413</v>
      </c>
      <c r="P130" s="56" t="s">
        <v>393</v>
      </c>
      <c r="Q130" s="57"/>
      <c r="R130" s="57"/>
      <c r="S130" s="4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</row>
    <row r="131" ht="22.5" customHeight="1">
      <c r="A131" s="28" t="s">
        <v>177</v>
      </c>
      <c r="B131" s="31" t="s">
        <v>71</v>
      </c>
      <c r="C131" s="32">
        <v>2.1345554E7</v>
      </c>
      <c r="D131" s="63" t="str">
        <f>D132</f>
        <v>Suscripcion mensual</v>
      </c>
      <c r="E131" s="34">
        <v>46147.0</v>
      </c>
      <c r="F131" s="61"/>
      <c r="G131" s="63"/>
      <c r="H131" s="39">
        <v>27692.0</v>
      </c>
      <c r="I131" s="42">
        <v>5261.0</v>
      </c>
      <c r="J131" s="39">
        <v>0.0</v>
      </c>
      <c r="K131" s="48">
        <f t="shared" ref="K131:K132" si="39">H131+I131</f>
        <v>32953</v>
      </c>
      <c r="L131" s="49" t="s">
        <v>77</v>
      </c>
      <c r="M131" s="51" t="s">
        <v>37</v>
      </c>
      <c r="N131" s="49" t="s">
        <v>46</v>
      </c>
      <c r="O131" s="49" t="s">
        <v>414</v>
      </c>
      <c r="P131" s="56" t="s">
        <v>415</v>
      </c>
      <c r="Q131" s="57"/>
      <c r="R131" s="57"/>
      <c r="S131" s="49" t="s">
        <v>66</v>
      </c>
      <c r="T131" s="59"/>
      <c r="U131" s="59"/>
      <c r="V131" s="59"/>
      <c r="W131" s="59"/>
      <c r="X131" s="59"/>
      <c r="Y131" s="59"/>
      <c r="Z131" s="59"/>
      <c r="AA131" s="59"/>
      <c r="AB131" s="59"/>
      <c r="AC131" s="59"/>
    </row>
    <row r="132" ht="22.5" customHeight="1">
      <c r="A132" s="28" t="s">
        <v>177</v>
      </c>
      <c r="B132" s="31" t="s">
        <v>71</v>
      </c>
      <c r="C132" s="32">
        <v>14421.0</v>
      </c>
      <c r="D132" s="32" t="s">
        <v>343</v>
      </c>
      <c r="E132" s="34">
        <v>46147.0</v>
      </c>
      <c r="F132" s="31" t="s">
        <v>51</v>
      </c>
      <c r="G132" s="32" t="s">
        <v>187</v>
      </c>
      <c r="H132" s="39">
        <v>70378.0</v>
      </c>
      <c r="I132" s="42">
        <v>13372.0</v>
      </c>
      <c r="J132" s="39">
        <v>0.0</v>
      </c>
      <c r="K132" s="42">
        <f t="shared" si="39"/>
        <v>83750</v>
      </c>
      <c r="L132" s="49" t="s">
        <v>77</v>
      </c>
      <c r="M132" s="51" t="s">
        <v>37</v>
      </c>
      <c r="N132" s="49" t="s">
        <v>46</v>
      </c>
      <c r="O132" s="49" t="s">
        <v>344</v>
      </c>
      <c r="P132" s="56" t="s">
        <v>416</v>
      </c>
      <c r="Q132" s="57"/>
      <c r="R132" s="57"/>
      <c r="S132" s="49" t="s">
        <v>66</v>
      </c>
      <c r="T132" s="59"/>
      <c r="U132" s="59"/>
      <c r="V132" s="59"/>
      <c r="W132" s="59"/>
      <c r="X132" s="59"/>
      <c r="Y132" s="59"/>
      <c r="Z132" s="59"/>
      <c r="AA132" s="59"/>
      <c r="AB132" s="59"/>
      <c r="AC132" s="59"/>
    </row>
    <row r="133" ht="22.5" customHeight="1">
      <c r="A133" s="100"/>
      <c r="B133" s="31" t="s">
        <v>71</v>
      </c>
      <c r="C133" s="32"/>
      <c r="D133" s="32" t="s">
        <v>366</v>
      </c>
      <c r="E133" s="34">
        <v>46147.0</v>
      </c>
      <c r="F133" s="31" t="s">
        <v>212</v>
      </c>
      <c r="G133" s="32" t="s">
        <v>52</v>
      </c>
      <c r="H133" s="88">
        <f t="shared" ref="H133:H134" si="40">K133/1.19</f>
        <v>1259168.067</v>
      </c>
      <c r="I133" s="48">
        <f t="shared" ref="I133:I134" si="41">H133*19%</f>
        <v>239241.9328</v>
      </c>
      <c r="J133" s="39">
        <v>0.0</v>
      </c>
      <c r="K133" s="102">
        <v>1498410.0</v>
      </c>
      <c r="L133" s="49" t="s">
        <v>77</v>
      </c>
      <c r="M133" s="51" t="s">
        <v>37</v>
      </c>
      <c r="N133" s="49" t="s">
        <v>44</v>
      </c>
      <c r="O133" s="49" t="s">
        <v>366</v>
      </c>
      <c r="P133" s="56" t="s">
        <v>393</v>
      </c>
      <c r="Q133" s="57"/>
      <c r="R133" s="57"/>
      <c r="S133" s="4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</row>
    <row r="134" ht="22.5" customHeight="1">
      <c r="A134" s="100"/>
      <c r="B134" s="31" t="s">
        <v>71</v>
      </c>
      <c r="C134" s="32"/>
      <c r="D134" s="32" t="s">
        <v>417</v>
      </c>
      <c r="E134" s="34">
        <v>46146.0</v>
      </c>
      <c r="F134" s="31" t="s">
        <v>212</v>
      </c>
      <c r="G134" s="32" t="s">
        <v>52</v>
      </c>
      <c r="H134" s="88">
        <f t="shared" si="40"/>
        <v>828473.1092</v>
      </c>
      <c r="I134" s="48">
        <f t="shared" si="41"/>
        <v>157409.8908</v>
      </c>
      <c r="J134" s="39">
        <v>0.0</v>
      </c>
      <c r="K134" s="102">
        <v>985883.0</v>
      </c>
      <c r="L134" s="49" t="s">
        <v>77</v>
      </c>
      <c r="M134" s="51" t="s">
        <v>36</v>
      </c>
      <c r="N134" s="49" t="s">
        <v>44</v>
      </c>
      <c r="O134" s="49" t="s">
        <v>417</v>
      </c>
      <c r="P134" s="56" t="s">
        <v>393</v>
      </c>
      <c r="Q134" s="57"/>
      <c r="R134" s="57"/>
      <c r="S134" s="4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</row>
    <row r="135" ht="22.5" customHeight="1">
      <c r="A135" s="28" t="s">
        <v>148</v>
      </c>
      <c r="B135" s="31" t="s">
        <v>71</v>
      </c>
      <c r="C135" s="32">
        <v>2.63092224E8</v>
      </c>
      <c r="D135" s="32" t="s">
        <v>206</v>
      </c>
      <c r="E135" s="34">
        <v>46145.0</v>
      </c>
      <c r="F135" s="61"/>
      <c r="G135" s="32" t="s">
        <v>52</v>
      </c>
      <c r="H135" s="39">
        <v>4193.0</v>
      </c>
      <c r="I135" s="42">
        <v>797.0</v>
      </c>
      <c r="J135" s="39">
        <v>0.0</v>
      </c>
      <c r="K135" s="48">
        <f t="shared" ref="K135:K140" si="42">H135+I135</f>
        <v>4990</v>
      </c>
      <c r="L135" s="49" t="s">
        <v>53</v>
      </c>
      <c r="M135" s="51" t="s">
        <v>38</v>
      </c>
      <c r="N135" s="49" t="s">
        <v>44</v>
      </c>
      <c r="O135" s="49" t="s">
        <v>418</v>
      </c>
      <c r="P135" s="56" t="s">
        <v>419</v>
      </c>
      <c r="Q135" s="57"/>
      <c r="R135" s="57"/>
      <c r="S135" s="49" t="s">
        <v>66</v>
      </c>
      <c r="T135" s="59"/>
      <c r="U135" s="59"/>
      <c r="V135" s="59"/>
      <c r="W135" s="59"/>
      <c r="X135" s="59"/>
      <c r="Y135" s="59"/>
      <c r="Z135" s="59"/>
      <c r="AA135" s="59"/>
      <c r="AB135" s="59"/>
      <c r="AC135" s="59"/>
    </row>
    <row r="136" ht="22.5" customHeight="1">
      <c r="A136" s="28" t="s">
        <v>177</v>
      </c>
      <c r="B136" s="31" t="s">
        <v>71</v>
      </c>
      <c r="C136" s="32">
        <v>2.1339315E7</v>
      </c>
      <c r="D136" s="32" t="s">
        <v>339</v>
      </c>
      <c r="E136" s="34">
        <v>46143.0</v>
      </c>
      <c r="F136" s="61"/>
      <c r="G136" s="63"/>
      <c r="H136" s="39">
        <v>25752.0</v>
      </c>
      <c r="I136" s="42">
        <v>4893.0</v>
      </c>
      <c r="J136" s="39">
        <v>0.0</v>
      </c>
      <c r="K136" s="48">
        <f t="shared" si="42"/>
        <v>30645</v>
      </c>
      <c r="L136" s="49" t="s">
        <v>77</v>
      </c>
      <c r="M136" s="51" t="s">
        <v>37</v>
      </c>
      <c r="N136" s="49" t="s">
        <v>46</v>
      </c>
      <c r="O136" s="49" t="s">
        <v>340</v>
      </c>
      <c r="P136" s="104" t="s">
        <v>420</v>
      </c>
      <c r="Q136" s="57"/>
      <c r="R136" s="57"/>
      <c r="S136" s="49" t="s">
        <v>66</v>
      </c>
      <c r="T136" s="59"/>
      <c r="U136" s="59"/>
      <c r="V136" s="59"/>
      <c r="W136" s="59"/>
      <c r="X136" s="59"/>
      <c r="Y136" s="59"/>
      <c r="Z136" s="59"/>
      <c r="AA136" s="59"/>
      <c r="AB136" s="59"/>
      <c r="AC136" s="59"/>
    </row>
    <row r="137" ht="22.5" customHeight="1">
      <c r="A137" s="28" t="s">
        <v>148</v>
      </c>
      <c r="B137" s="31" t="s">
        <v>71</v>
      </c>
      <c r="C137" s="32">
        <v>3.367834641E9</v>
      </c>
      <c r="D137" s="32" t="s">
        <v>421</v>
      </c>
      <c r="E137" s="34">
        <v>46143.0</v>
      </c>
      <c r="F137" s="61"/>
      <c r="G137" s="32" t="s">
        <v>52</v>
      </c>
      <c r="H137" s="39">
        <v>4765.0</v>
      </c>
      <c r="I137" s="42">
        <v>905.0</v>
      </c>
      <c r="J137" s="39">
        <v>0.0</v>
      </c>
      <c r="K137" s="48">
        <f t="shared" si="42"/>
        <v>5670</v>
      </c>
      <c r="L137" s="49" t="s">
        <v>77</v>
      </c>
      <c r="M137" s="51" t="s">
        <v>37</v>
      </c>
      <c r="N137" s="49" t="s">
        <v>44</v>
      </c>
      <c r="O137" s="49" t="s">
        <v>422</v>
      </c>
      <c r="P137" s="56" t="s">
        <v>423</v>
      </c>
      <c r="Q137" s="57"/>
      <c r="R137" s="57"/>
      <c r="S137" s="49" t="s">
        <v>66</v>
      </c>
      <c r="T137" s="59"/>
      <c r="U137" s="59"/>
      <c r="V137" s="59"/>
      <c r="W137" s="59"/>
      <c r="X137" s="59"/>
      <c r="Y137" s="59"/>
      <c r="Z137" s="59"/>
      <c r="AA137" s="59"/>
      <c r="AB137" s="59"/>
      <c r="AC137" s="59"/>
    </row>
    <row r="138" ht="22.5" customHeight="1">
      <c r="A138" s="28" t="s">
        <v>177</v>
      </c>
      <c r="B138" s="31" t="s">
        <v>71</v>
      </c>
      <c r="C138" s="32">
        <v>60279.0</v>
      </c>
      <c r="D138" s="32" t="s">
        <v>424</v>
      </c>
      <c r="E138" s="34">
        <v>46142.0</v>
      </c>
      <c r="F138" s="61"/>
      <c r="G138" s="63"/>
      <c r="H138" s="39">
        <v>1263786.0</v>
      </c>
      <c r="I138" s="42">
        <v>240119.0</v>
      </c>
      <c r="J138" s="39">
        <v>0.0</v>
      </c>
      <c r="K138" s="48">
        <f t="shared" si="42"/>
        <v>1503905</v>
      </c>
      <c r="L138" s="49" t="s">
        <v>53</v>
      </c>
      <c r="M138" s="51" t="s">
        <v>38</v>
      </c>
      <c r="N138" s="49" t="s">
        <v>44</v>
      </c>
      <c r="O138" s="49" t="s">
        <v>425</v>
      </c>
      <c r="P138" s="56" t="s">
        <v>426</v>
      </c>
      <c r="Q138" s="57"/>
      <c r="R138" s="57"/>
      <c r="S138" s="49" t="s">
        <v>66</v>
      </c>
      <c r="T138" s="59"/>
      <c r="U138" s="59"/>
      <c r="V138" s="59"/>
      <c r="W138" s="59"/>
      <c r="X138" s="59"/>
      <c r="Y138" s="59"/>
      <c r="Z138" s="59"/>
      <c r="AA138" s="59"/>
      <c r="AB138" s="59"/>
      <c r="AC138" s="59"/>
    </row>
    <row r="139" ht="22.5" customHeight="1">
      <c r="A139" s="28" t="s">
        <v>177</v>
      </c>
      <c r="B139" s="31" t="s">
        <v>71</v>
      </c>
      <c r="C139" s="32">
        <v>60279.0</v>
      </c>
      <c r="D139" s="32" t="s">
        <v>427</v>
      </c>
      <c r="E139" s="34">
        <v>46142.0</v>
      </c>
      <c r="F139" s="61"/>
      <c r="G139" s="63"/>
      <c r="H139" s="39">
        <f>210631*6</f>
        <v>1263786</v>
      </c>
      <c r="I139" s="48">
        <f t="shared" ref="I139:I142" si="43">H139*19%</f>
        <v>240119.34</v>
      </c>
      <c r="J139" s="39">
        <v>0.0</v>
      </c>
      <c r="K139" s="48">
        <f t="shared" si="42"/>
        <v>1503905.34</v>
      </c>
      <c r="L139" s="49" t="s">
        <v>53</v>
      </c>
      <c r="M139" s="51" t="s">
        <v>38</v>
      </c>
      <c r="N139" s="49" t="s">
        <v>44</v>
      </c>
      <c r="O139" s="49" t="s">
        <v>428</v>
      </c>
      <c r="P139" s="56" t="s">
        <v>426</v>
      </c>
      <c r="Q139" s="57"/>
      <c r="R139" s="57"/>
      <c r="S139" s="49" t="s">
        <v>66</v>
      </c>
      <c r="T139" s="59"/>
      <c r="U139" s="59"/>
      <c r="V139" s="59"/>
      <c r="W139" s="59"/>
      <c r="X139" s="59"/>
      <c r="Y139" s="59"/>
      <c r="Z139" s="59"/>
      <c r="AA139" s="59"/>
      <c r="AB139" s="59"/>
      <c r="AC139" s="59"/>
    </row>
    <row r="140" ht="22.5" customHeight="1">
      <c r="A140" s="28" t="s">
        <v>429</v>
      </c>
      <c r="B140" s="31" t="s">
        <v>71</v>
      </c>
      <c r="C140" s="32">
        <v>1979.0</v>
      </c>
      <c r="D140" s="32" t="s">
        <v>430</v>
      </c>
      <c r="E140" s="34">
        <v>46142.0</v>
      </c>
      <c r="F140" s="61"/>
      <c r="G140" s="63"/>
      <c r="H140" s="39">
        <v>210631.0</v>
      </c>
      <c r="I140" s="48">
        <f t="shared" si="43"/>
        <v>40019.89</v>
      </c>
      <c r="J140" s="39">
        <v>0.0</v>
      </c>
      <c r="K140" s="48">
        <f t="shared" si="42"/>
        <v>250650.89</v>
      </c>
      <c r="L140" s="49" t="s">
        <v>53</v>
      </c>
      <c r="M140" s="51" t="s">
        <v>35</v>
      </c>
      <c r="N140" s="49" t="s">
        <v>44</v>
      </c>
      <c r="O140" s="32" t="s">
        <v>430</v>
      </c>
      <c r="P140" s="95" t="s">
        <v>431</v>
      </c>
      <c r="Q140" s="56" t="s">
        <v>432</v>
      </c>
      <c r="R140" s="57"/>
      <c r="S140" s="49" t="s">
        <v>66</v>
      </c>
      <c r="T140" s="59"/>
      <c r="U140" s="59"/>
      <c r="V140" s="59"/>
      <c r="W140" s="59"/>
      <c r="X140" s="59"/>
      <c r="Y140" s="59"/>
      <c r="Z140" s="59"/>
      <c r="AA140" s="59"/>
      <c r="AB140" s="59"/>
      <c r="AC140" s="59"/>
    </row>
    <row r="141" ht="22.5" customHeight="1">
      <c r="A141" s="28" t="s">
        <v>177</v>
      </c>
      <c r="B141" s="31" t="s">
        <v>71</v>
      </c>
      <c r="C141" s="32">
        <v>11180.0</v>
      </c>
      <c r="D141" s="32" t="s">
        <v>433</v>
      </c>
      <c r="E141" s="34">
        <v>46135.0</v>
      </c>
      <c r="F141" s="31" t="s">
        <v>51</v>
      </c>
      <c r="G141" s="32" t="s">
        <v>52</v>
      </c>
      <c r="H141" s="88">
        <f t="shared" ref="H141:H142" si="44">K141/1.19</f>
        <v>70489.91597</v>
      </c>
      <c r="I141" s="48">
        <f t="shared" si="43"/>
        <v>13393.08403</v>
      </c>
      <c r="J141" s="39">
        <v>0.0</v>
      </c>
      <c r="K141" s="42">
        <v>83883.0</v>
      </c>
      <c r="L141" s="49" t="s">
        <v>77</v>
      </c>
      <c r="M141" s="51" t="s">
        <v>37</v>
      </c>
      <c r="N141" s="49" t="s">
        <v>44</v>
      </c>
      <c r="O141" s="49" t="s">
        <v>434</v>
      </c>
      <c r="P141" s="56" t="s">
        <v>435</v>
      </c>
      <c r="Q141" s="117"/>
      <c r="R141" s="57"/>
      <c r="S141" s="49" t="s">
        <v>66</v>
      </c>
      <c r="T141" s="59"/>
      <c r="U141" s="59"/>
      <c r="V141" s="59"/>
      <c r="W141" s="59"/>
      <c r="X141" s="59"/>
      <c r="Y141" s="59"/>
      <c r="Z141" s="59"/>
      <c r="AA141" s="59"/>
      <c r="AB141" s="59"/>
      <c r="AC141" s="59"/>
    </row>
    <row r="142" ht="22.5" customHeight="1">
      <c r="A142" s="28" t="s">
        <v>177</v>
      </c>
      <c r="B142" s="31" t="s">
        <v>71</v>
      </c>
      <c r="C142" s="32">
        <v>11154.0</v>
      </c>
      <c r="D142" s="32" t="s">
        <v>433</v>
      </c>
      <c r="E142" s="34">
        <v>46134.0</v>
      </c>
      <c r="F142" s="31" t="s">
        <v>51</v>
      </c>
      <c r="G142" s="32" t="s">
        <v>52</v>
      </c>
      <c r="H142" s="88">
        <f t="shared" si="44"/>
        <v>111747.8992</v>
      </c>
      <c r="I142" s="48">
        <f t="shared" si="43"/>
        <v>21232.10084</v>
      </c>
      <c r="J142" s="39">
        <v>0.0</v>
      </c>
      <c r="K142" s="42">
        <v>132980.0</v>
      </c>
      <c r="L142" s="49" t="s">
        <v>77</v>
      </c>
      <c r="M142" s="51" t="s">
        <v>37</v>
      </c>
      <c r="N142" s="49" t="s">
        <v>44</v>
      </c>
      <c r="O142" s="49" t="s">
        <v>434</v>
      </c>
      <c r="P142" s="56" t="s">
        <v>436</v>
      </c>
      <c r="Q142" s="57"/>
      <c r="R142" s="57"/>
      <c r="S142" s="49" t="s">
        <v>66</v>
      </c>
      <c r="T142" s="59"/>
      <c r="U142" s="59"/>
      <c r="V142" s="59"/>
      <c r="W142" s="59"/>
      <c r="X142" s="59"/>
      <c r="Y142" s="59"/>
      <c r="Z142" s="59"/>
      <c r="AA142" s="59"/>
      <c r="AB142" s="59"/>
      <c r="AC142" s="59"/>
    </row>
    <row r="143" ht="22.5" customHeight="1">
      <c r="A143" s="28" t="s">
        <v>177</v>
      </c>
      <c r="B143" s="31" t="s">
        <v>71</v>
      </c>
      <c r="C143" s="32">
        <v>20395.0</v>
      </c>
      <c r="D143" s="32" t="s">
        <v>437</v>
      </c>
      <c r="E143" s="34">
        <v>46134.0</v>
      </c>
      <c r="F143" s="61"/>
      <c r="G143" s="32"/>
      <c r="H143" s="39">
        <v>84017.0</v>
      </c>
      <c r="I143" s="42">
        <v>15963.0</v>
      </c>
      <c r="J143" s="39">
        <v>0.0</v>
      </c>
      <c r="K143" s="42">
        <f>H143+I143</f>
        <v>99980</v>
      </c>
      <c r="L143" s="49" t="s">
        <v>77</v>
      </c>
      <c r="M143" s="51" t="s">
        <v>37</v>
      </c>
      <c r="N143" s="49" t="s">
        <v>46</v>
      </c>
      <c r="O143" s="49" t="s">
        <v>438</v>
      </c>
      <c r="P143" s="118" t="s">
        <v>439</v>
      </c>
      <c r="Q143" s="57"/>
      <c r="R143" s="57"/>
      <c r="S143" s="49" t="s">
        <v>66</v>
      </c>
      <c r="T143" s="59"/>
      <c r="U143" s="59"/>
      <c r="V143" s="59"/>
      <c r="W143" s="59"/>
      <c r="X143" s="59"/>
      <c r="Y143" s="59"/>
      <c r="Z143" s="59"/>
      <c r="AA143" s="59"/>
      <c r="AB143" s="59"/>
      <c r="AC143" s="59"/>
    </row>
    <row r="144" ht="22.5" customHeight="1">
      <c r="A144" s="100"/>
      <c r="B144" s="31" t="s">
        <v>71</v>
      </c>
      <c r="C144" s="119" t="s">
        <v>440</v>
      </c>
      <c r="D144" s="32" t="s">
        <v>222</v>
      </c>
      <c r="E144" s="34">
        <v>46134.0</v>
      </c>
      <c r="F144" s="31" t="s">
        <v>212</v>
      </c>
      <c r="G144" s="32" t="s">
        <v>187</v>
      </c>
      <c r="H144" s="48">
        <f t="shared" ref="H144:H167" si="45">K144/1.19</f>
        <v>15580.84034</v>
      </c>
      <c r="I144" s="48">
        <f t="shared" ref="I144:I167" si="46">H144*19%</f>
        <v>2960.359664</v>
      </c>
      <c r="J144" s="42">
        <v>0.0</v>
      </c>
      <c r="K144" s="102">
        <v>18541.2</v>
      </c>
      <c r="L144" s="49" t="s">
        <v>77</v>
      </c>
      <c r="M144" s="51" t="s">
        <v>37</v>
      </c>
      <c r="N144" s="49" t="s">
        <v>46</v>
      </c>
      <c r="O144" s="49" t="s">
        <v>222</v>
      </c>
      <c r="P144" s="56" t="s">
        <v>441</v>
      </c>
      <c r="Q144" s="112"/>
      <c r="R144" s="57"/>
      <c r="S144" s="4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</row>
    <row r="145" ht="22.5" customHeight="1">
      <c r="A145" s="28" t="s">
        <v>310</v>
      </c>
      <c r="B145" s="31" t="s">
        <v>71</v>
      </c>
      <c r="C145" s="119">
        <v>7064130.0</v>
      </c>
      <c r="D145" s="32" t="s">
        <v>442</v>
      </c>
      <c r="E145" s="34">
        <v>46132.0</v>
      </c>
      <c r="F145" s="31" t="s">
        <v>51</v>
      </c>
      <c r="G145" s="32" t="s">
        <v>52</v>
      </c>
      <c r="H145" s="88">
        <f t="shared" si="45"/>
        <v>521008.4034</v>
      </c>
      <c r="I145" s="48">
        <f t="shared" si="46"/>
        <v>98991.59664</v>
      </c>
      <c r="J145" s="39">
        <v>0.0</v>
      </c>
      <c r="K145" s="42">
        <v>620000.0</v>
      </c>
      <c r="L145" s="49" t="s">
        <v>77</v>
      </c>
      <c r="M145" s="51" t="s">
        <v>36</v>
      </c>
      <c r="N145" s="49" t="s">
        <v>44</v>
      </c>
      <c r="O145" s="120" t="s">
        <v>443</v>
      </c>
      <c r="P145" s="56" t="s">
        <v>444</v>
      </c>
      <c r="Q145" s="112"/>
      <c r="R145" s="57"/>
      <c r="S145" s="49" t="s">
        <v>66</v>
      </c>
      <c r="T145" s="59"/>
      <c r="U145" s="59"/>
      <c r="V145" s="59"/>
      <c r="W145" s="59"/>
      <c r="X145" s="59"/>
      <c r="Y145" s="59"/>
      <c r="Z145" s="59"/>
      <c r="AA145" s="59"/>
      <c r="AB145" s="59"/>
      <c r="AC145" s="59"/>
    </row>
    <row r="146" ht="22.5" customHeight="1">
      <c r="A146" s="100"/>
      <c r="B146" s="31" t="s">
        <v>71</v>
      </c>
      <c r="C146" s="32">
        <v>8.263163527E9</v>
      </c>
      <c r="D146" s="32" t="s">
        <v>445</v>
      </c>
      <c r="E146" s="34">
        <v>46132.0</v>
      </c>
      <c r="F146" s="31" t="s">
        <v>51</v>
      </c>
      <c r="G146" s="32"/>
      <c r="H146" s="39">
        <f t="shared" si="45"/>
        <v>106000.8403</v>
      </c>
      <c r="I146" s="42">
        <f t="shared" si="46"/>
        <v>20140.15966</v>
      </c>
      <c r="J146" s="39">
        <v>0.0</v>
      </c>
      <c r="K146" s="42">
        <v>126141.0</v>
      </c>
      <c r="L146" s="49" t="s">
        <v>77</v>
      </c>
      <c r="M146" s="51" t="s">
        <v>37</v>
      </c>
      <c r="N146" s="49" t="s">
        <v>46</v>
      </c>
      <c r="O146" s="49"/>
      <c r="P146" s="56" t="s">
        <v>446</v>
      </c>
      <c r="Q146" s="112"/>
      <c r="R146" s="57"/>
      <c r="S146" s="49" t="s">
        <v>66</v>
      </c>
      <c r="T146" s="59"/>
      <c r="U146" s="59"/>
      <c r="V146" s="59"/>
      <c r="W146" s="59"/>
      <c r="X146" s="59"/>
      <c r="Y146" s="59"/>
      <c r="Z146" s="59"/>
      <c r="AA146" s="59"/>
      <c r="AB146" s="59"/>
      <c r="AC146" s="59"/>
    </row>
    <row r="147" ht="22.5" customHeight="1">
      <c r="A147" s="100"/>
      <c r="B147" s="31" t="s">
        <v>71</v>
      </c>
      <c r="C147" s="32"/>
      <c r="D147" s="32" t="s">
        <v>447</v>
      </c>
      <c r="E147" s="34">
        <v>46132.0</v>
      </c>
      <c r="F147" s="31" t="s">
        <v>212</v>
      </c>
      <c r="G147" s="32" t="s">
        <v>52</v>
      </c>
      <c r="H147" s="39">
        <f t="shared" si="45"/>
        <v>3402303.361</v>
      </c>
      <c r="I147" s="42">
        <f t="shared" si="46"/>
        <v>646437.6387</v>
      </c>
      <c r="J147" s="39">
        <v>0.0</v>
      </c>
      <c r="K147" s="102">
        <v>4048741.0</v>
      </c>
      <c r="L147" s="49" t="s">
        <v>77</v>
      </c>
      <c r="M147" s="51" t="s">
        <v>36</v>
      </c>
      <c r="N147" s="49" t="s">
        <v>44</v>
      </c>
      <c r="O147" s="49" t="s">
        <v>447</v>
      </c>
      <c r="P147" s="56" t="s">
        <v>448</v>
      </c>
      <c r="Q147" s="112"/>
      <c r="R147" s="57"/>
      <c r="S147" s="4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</row>
    <row r="148" ht="22.5" customHeight="1">
      <c r="A148" s="121" t="s">
        <v>69</v>
      </c>
      <c r="B148" s="61" t="s">
        <v>48</v>
      </c>
      <c r="C148" s="63"/>
      <c r="D148" s="63" t="s">
        <v>449</v>
      </c>
      <c r="E148" s="122">
        <v>46129.0</v>
      </c>
      <c r="F148" s="61" t="s">
        <v>51</v>
      </c>
      <c r="G148" s="63" t="s">
        <v>52</v>
      </c>
      <c r="H148" s="88">
        <f t="shared" si="45"/>
        <v>23905.04202</v>
      </c>
      <c r="I148" s="42">
        <f t="shared" si="46"/>
        <v>4541.957983</v>
      </c>
      <c r="J148" s="39">
        <v>0.0</v>
      </c>
      <c r="K148" s="48">
        <v>28447.0</v>
      </c>
      <c r="L148" s="49" t="s">
        <v>77</v>
      </c>
      <c r="M148" s="115" t="s">
        <v>37</v>
      </c>
      <c r="N148" s="57" t="s">
        <v>46</v>
      </c>
      <c r="O148" s="57" t="s">
        <v>450</v>
      </c>
      <c r="P148" s="57" t="s">
        <v>451</v>
      </c>
      <c r="Q148" s="57"/>
      <c r="R148" s="57"/>
      <c r="S148" s="4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</row>
    <row r="149" ht="25.5" customHeight="1">
      <c r="A149" s="121"/>
      <c r="B149" s="31" t="s">
        <v>71</v>
      </c>
      <c r="C149" s="32" t="s">
        <v>452</v>
      </c>
      <c r="D149" s="101" t="s">
        <v>453</v>
      </c>
      <c r="E149" s="34">
        <v>46127.0</v>
      </c>
      <c r="F149" s="31" t="s">
        <v>212</v>
      </c>
      <c r="G149" s="32" t="s">
        <v>187</v>
      </c>
      <c r="H149" s="48">
        <f t="shared" si="45"/>
        <v>18541.20168</v>
      </c>
      <c r="I149" s="48">
        <f t="shared" si="46"/>
        <v>3522.828319</v>
      </c>
      <c r="J149" s="42">
        <v>0.0</v>
      </c>
      <c r="K149" s="102">
        <v>22064.03</v>
      </c>
      <c r="L149" s="49" t="s">
        <v>77</v>
      </c>
      <c r="M149" s="51" t="s">
        <v>37</v>
      </c>
      <c r="N149" s="49" t="s">
        <v>46</v>
      </c>
      <c r="O149" s="101" t="s">
        <v>454</v>
      </c>
      <c r="P149" s="56" t="s">
        <v>441</v>
      </c>
      <c r="Q149" s="57"/>
      <c r="R149" s="57"/>
      <c r="S149" s="4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</row>
    <row r="150" ht="31.5" customHeight="1">
      <c r="A150" s="121" t="s">
        <v>40</v>
      </c>
      <c r="B150" s="61" t="s">
        <v>48</v>
      </c>
      <c r="C150" s="63">
        <v>15.0</v>
      </c>
      <c r="D150" s="63" t="s">
        <v>455</v>
      </c>
      <c r="E150" s="122">
        <v>46126.0</v>
      </c>
      <c r="F150" s="61" t="s">
        <v>51</v>
      </c>
      <c r="G150" s="63" t="s">
        <v>52</v>
      </c>
      <c r="H150" s="88">
        <f t="shared" si="45"/>
        <v>168067.2269</v>
      </c>
      <c r="I150" s="42">
        <f t="shared" si="46"/>
        <v>31932.77311</v>
      </c>
      <c r="J150" s="39">
        <v>0.0</v>
      </c>
      <c r="K150" s="48">
        <v>200000.0</v>
      </c>
      <c r="L150" s="49" t="s">
        <v>77</v>
      </c>
      <c r="M150" s="115" t="s">
        <v>37</v>
      </c>
      <c r="N150" s="57" t="s">
        <v>46</v>
      </c>
      <c r="O150" s="57" t="s">
        <v>456</v>
      </c>
      <c r="P150" s="57" t="s">
        <v>457</v>
      </c>
      <c r="Q150" s="57"/>
      <c r="R150" s="57"/>
      <c r="S150" s="4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</row>
    <row r="151" ht="22.5" customHeight="1">
      <c r="A151" s="121" t="s">
        <v>310</v>
      </c>
      <c r="B151" s="61" t="s">
        <v>48</v>
      </c>
      <c r="C151" s="63"/>
      <c r="D151" s="63" t="s">
        <v>442</v>
      </c>
      <c r="E151" s="122">
        <v>46126.0</v>
      </c>
      <c r="F151" s="61" t="s">
        <v>51</v>
      </c>
      <c r="G151" s="63" t="s">
        <v>52</v>
      </c>
      <c r="H151" s="88">
        <f t="shared" si="45"/>
        <v>840336.1345</v>
      </c>
      <c r="I151" s="42">
        <f t="shared" si="46"/>
        <v>159663.8655</v>
      </c>
      <c r="J151" s="39">
        <v>0.0</v>
      </c>
      <c r="K151" s="48">
        <v>1000000.0</v>
      </c>
      <c r="L151" s="57" t="s">
        <v>77</v>
      </c>
      <c r="M151" s="115" t="s">
        <v>36</v>
      </c>
      <c r="N151" s="57" t="s">
        <v>44</v>
      </c>
      <c r="O151" s="57" t="s">
        <v>458</v>
      </c>
      <c r="P151" s="57" t="s">
        <v>459</v>
      </c>
      <c r="Q151" s="57"/>
      <c r="R151" s="57"/>
      <c r="S151" s="57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</row>
    <row r="152" ht="22.5" customHeight="1">
      <c r="A152" s="121"/>
      <c r="B152" s="31" t="s">
        <v>71</v>
      </c>
      <c r="C152" s="63"/>
      <c r="D152" s="32" t="s">
        <v>366</v>
      </c>
      <c r="E152" s="34">
        <v>46126.0</v>
      </c>
      <c r="F152" s="31" t="s">
        <v>212</v>
      </c>
      <c r="G152" s="32" t="s">
        <v>52</v>
      </c>
      <c r="H152" s="88">
        <f t="shared" si="45"/>
        <v>840336.1345</v>
      </c>
      <c r="I152" s="42">
        <f t="shared" si="46"/>
        <v>159663.8655</v>
      </c>
      <c r="J152" s="39">
        <v>0.0</v>
      </c>
      <c r="K152" s="102">
        <v>1000000.0</v>
      </c>
      <c r="L152" s="57" t="s">
        <v>77</v>
      </c>
      <c r="M152" s="51" t="s">
        <v>37</v>
      </c>
      <c r="N152" s="49" t="s">
        <v>44</v>
      </c>
      <c r="O152" s="49" t="s">
        <v>366</v>
      </c>
      <c r="P152" s="56" t="s">
        <v>448</v>
      </c>
      <c r="Q152" s="57"/>
      <c r="R152" s="57"/>
      <c r="S152" s="57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</row>
    <row r="153" ht="22.5" customHeight="1">
      <c r="A153" s="121" t="s">
        <v>310</v>
      </c>
      <c r="B153" s="61" t="s">
        <v>48</v>
      </c>
      <c r="C153" s="63"/>
      <c r="D153" s="63" t="s">
        <v>460</v>
      </c>
      <c r="E153" s="122">
        <v>46125.0</v>
      </c>
      <c r="F153" s="61" t="s">
        <v>51</v>
      </c>
      <c r="G153" s="63" t="s">
        <v>52</v>
      </c>
      <c r="H153" s="88">
        <f t="shared" si="45"/>
        <v>108932.7731</v>
      </c>
      <c r="I153" s="42">
        <f t="shared" si="46"/>
        <v>20697.22689</v>
      </c>
      <c r="J153" s="39">
        <v>0.0</v>
      </c>
      <c r="K153" s="48">
        <v>129630.0</v>
      </c>
      <c r="L153" s="57" t="s">
        <v>77</v>
      </c>
      <c r="M153" s="115" t="s">
        <v>37</v>
      </c>
      <c r="N153" s="57" t="s">
        <v>46</v>
      </c>
      <c r="O153" s="57" t="s">
        <v>461</v>
      </c>
      <c r="P153" s="57" t="s">
        <v>462</v>
      </c>
      <c r="Q153" s="57"/>
      <c r="R153" s="57"/>
      <c r="S153" s="57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</row>
    <row r="154" ht="22.5" customHeight="1">
      <c r="A154" s="121" t="s">
        <v>310</v>
      </c>
      <c r="B154" s="61" t="s">
        <v>48</v>
      </c>
      <c r="C154" s="63"/>
      <c r="D154" s="63" t="s">
        <v>460</v>
      </c>
      <c r="E154" s="122">
        <v>46125.0</v>
      </c>
      <c r="F154" s="61" t="s">
        <v>51</v>
      </c>
      <c r="G154" s="63" t="s">
        <v>52</v>
      </c>
      <c r="H154" s="88">
        <f t="shared" si="45"/>
        <v>222156.3025</v>
      </c>
      <c r="I154" s="42">
        <f t="shared" si="46"/>
        <v>42209.69748</v>
      </c>
      <c r="J154" s="39">
        <v>0.0</v>
      </c>
      <c r="K154" s="48">
        <v>264366.0</v>
      </c>
      <c r="L154" s="57" t="s">
        <v>77</v>
      </c>
      <c r="M154" s="115" t="s">
        <v>37</v>
      </c>
      <c r="N154" s="57" t="s">
        <v>44</v>
      </c>
      <c r="O154" s="57" t="s">
        <v>463</v>
      </c>
      <c r="P154" s="57" t="s">
        <v>462</v>
      </c>
      <c r="Q154" s="57"/>
      <c r="R154" s="57"/>
      <c r="S154" s="57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</row>
    <row r="155" ht="22.5" customHeight="1">
      <c r="A155" s="121" t="s">
        <v>310</v>
      </c>
      <c r="B155" s="61" t="s">
        <v>48</v>
      </c>
      <c r="C155" s="63"/>
      <c r="D155" s="63" t="s">
        <v>464</v>
      </c>
      <c r="E155" s="122">
        <v>46125.0</v>
      </c>
      <c r="F155" s="61" t="s">
        <v>51</v>
      </c>
      <c r="G155" s="63" t="s">
        <v>52</v>
      </c>
      <c r="H155" s="88">
        <f t="shared" si="45"/>
        <v>33480.67227</v>
      </c>
      <c r="I155" s="42">
        <f t="shared" si="46"/>
        <v>6361.327731</v>
      </c>
      <c r="J155" s="39">
        <v>0.0</v>
      </c>
      <c r="K155" s="48">
        <v>39842.0</v>
      </c>
      <c r="L155" s="57" t="s">
        <v>77</v>
      </c>
      <c r="M155" s="115" t="s">
        <v>37</v>
      </c>
      <c r="N155" s="57" t="s">
        <v>46</v>
      </c>
      <c r="O155" s="57" t="s">
        <v>465</v>
      </c>
      <c r="P155" s="57" t="s">
        <v>466</v>
      </c>
      <c r="Q155" s="57"/>
      <c r="R155" s="57"/>
      <c r="S155" s="57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</row>
    <row r="156" ht="22.5" customHeight="1">
      <c r="A156" s="121" t="s">
        <v>69</v>
      </c>
      <c r="B156" s="61" t="s">
        <v>48</v>
      </c>
      <c r="C156" s="63"/>
      <c r="D156" s="63" t="s">
        <v>467</v>
      </c>
      <c r="E156" s="122">
        <v>46121.0</v>
      </c>
      <c r="F156" s="61" t="s">
        <v>51</v>
      </c>
      <c r="G156" s="63" t="s">
        <v>52</v>
      </c>
      <c r="H156" s="88">
        <f t="shared" si="45"/>
        <v>16815.12605</v>
      </c>
      <c r="I156" s="42">
        <f t="shared" si="46"/>
        <v>3194.87395</v>
      </c>
      <c r="J156" s="39">
        <v>0.0</v>
      </c>
      <c r="K156" s="48">
        <v>20010.0</v>
      </c>
      <c r="L156" s="57" t="s">
        <v>77</v>
      </c>
      <c r="M156" s="115" t="s">
        <v>37</v>
      </c>
      <c r="N156" s="57" t="s">
        <v>44</v>
      </c>
      <c r="O156" s="57" t="s">
        <v>468</v>
      </c>
      <c r="P156" s="57" t="s">
        <v>469</v>
      </c>
      <c r="Q156" s="57"/>
      <c r="R156" s="57"/>
      <c r="S156" s="57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</row>
    <row r="157" ht="22.5" customHeight="1">
      <c r="A157" s="121"/>
      <c r="B157" s="31" t="s">
        <v>71</v>
      </c>
      <c r="C157" s="32" t="s">
        <v>470</v>
      </c>
      <c r="D157" s="32" t="s">
        <v>304</v>
      </c>
      <c r="E157" s="34">
        <v>46119.0</v>
      </c>
      <c r="F157" s="31" t="s">
        <v>212</v>
      </c>
      <c r="G157" s="32" t="s">
        <v>187</v>
      </c>
      <c r="H157" s="48">
        <f t="shared" si="45"/>
        <v>15580.84034</v>
      </c>
      <c r="I157" s="48">
        <f t="shared" si="46"/>
        <v>2960.359664</v>
      </c>
      <c r="J157" s="42">
        <v>0.0</v>
      </c>
      <c r="K157" s="102">
        <v>18541.2</v>
      </c>
      <c r="L157" s="49" t="s">
        <v>77</v>
      </c>
      <c r="M157" s="51" t="s">
        <v>37</v>
      </c>
      <c r="N157" s="49" t="s">
        <v>46</v>
      </c>
      <c r="O157" s="49" t="s">
        <v>304</v>
      </c>
      <c r="P157" s="56" t="s">
        <v>441</v>
      </c>
      <c r="Q157" s="57"/>
      <c r="R157" s="57"/>
      <c r="S157" s="57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</row>
    <row r="158" ht="22.5" customHeight="1">
      <c r="A158" s="121"/>
      <c r="B158" s="31" t="s">
        <v>71</v>
      </c>
      <c r="C158" s="63"/>
      <c r="D158" s="32" t="s">
        <v>411</v>
      </c>
      <c r="E158" s="34">
        <v>46119.0</v>
      </c>
      <c r="F158" s="31" t="s">
        <v>212</v>
      </c>
      <c r="G158" s="32" t="s">
        <v>52</v>
      </c>
      <c r="H158" s="88">
        <f t="shared" si="45"/>
        <v>4536.97479</v>
      </c>
      <c r="I158" s="42">
        <f t="shared" si="46"/>
        <v>862.0252101</v>
      </c>
      <c r="J158" s="39">
        <v>0.0</v>
      </c>
      <c r="K158" s="102">
        <v>5399.0</v>
      </c>
      <c r="L158" s="57" t="s">
        <v>77</v>
      </c>
      <c r="M158" s="51" t="s">
        <v>37</v>
      </c>
      <c r="N158" s="49" t="s">
        <v>44</v>
      </c>
      <c r="O158" s="49" t="s">
        <v>411</v>
      </c>
      <c r="P158" s="56" t="s">
        <v>448</v>
      </c>
      <c r="Q158" s="57"/>
      <c r="R158" s="57"/>
      <c r="S158" s="57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</row>
    <row r="159" ht="22.5" customHeight="1">
      <c r="A159" s="121" t="s">
        <v>310</v>
      </c>
      <c r="B159" s="61" t="s">
        <v>48</v>
      </c>
      <c r="C159" s="63"/>
      <c r="D159" s="63" t="s">
        <v>471</v>
      </c>
      <c r="E159" s="122">
        <v>46118.0</v>
      </c>
      <c r="F159" s="61" t="s">
        <v>51</v>
      </c>
      <c r="G159" s="63" t="s">
        <v>52</v>
      </c>
      <c r="H159" s="88">
        <f t="shared" si="45"/>
        <v>252100.8403</v>
      </c>
      <c r="I159" s="42">
        <f t="shared" si="46"/>
        <v>47899.15966</v>
      </c>
      <c r="J159" s="39">
        <v>0.0</v>
      </c>
      <c r="K159" s="48">
        <v>300000.0</v>
      </c>
      <c r="L159" s="57" t="s">
        <v>77</v>
      </c>
      <c r="M159" s="115" t="s">
        <v>37</v>
      </c>
      <c r="N159" s="57" t="s">
        <v>44</v>
      </c>
      <c r="O159" s="57" t="s">
        <v>472</v>
      </c>
      <c r="P159" s="57" t="s">
        <v>473</v>
      </c>
      <c r="Q159" s="57"/>
      <c r="R159" s="57"/>
      <c r="S159" s="57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</row>
    <row r="160" ht="22.5" customHeight="1">
      <c r="A160" s="121" t="s">
        <v>310</v>
      </c>
      <c r="B160" s="61" t="s">
        <v>48</v>
      </c>
      <c r="C160" s="63"/>
      <c r="D160" s="63" t="s">
        <v>471</v>
      </c>
      <c r="E160" s="122">
        <v>46118.0</v>
      </c>
      <c r="F160" s="61" t="s">
        <v>51</v>
      </c>
      <c r="G160" s="63" t="s">
        <v>52</v>
      </c>
      <c r="H160" s="88">
        <f t="shared" si="45"/>
        <v>310431.9328</v>
      </c>
      <c r="I160" s="42">
        <f t="shared" si="46"/>
        <v>58982.06723</v>
      </c>
      <c r="J160" s="39">
        <v>0.0</v>
      </c>
      <c r="K160" s="48">
        <v>369414.0</v>
      </c>
      <c r="L160" s="57" t="s">
        <v>77</v>
      </c>
      <c r="M160" s="115" t="s">
        <v>37</v>
      </c>
      <c r="N160" s="57" t="s">
        <v>44</v>
      </c>
      <c r="O160" s="57" t="s">
        <v>474</v>
      </c>
      <c r="P160" s="57" t="s">
        <v>475</v>
      </c>
      <c r="Q160" s="57"/>
      <c r="R160" s="57"/>
      <c r="S160" s="57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</row>
    <row r="161" ht="22.5" customHeight="1">
      <c r="A161" s="121" t="s">
        <v>310</v>
      </c>
      <c r="B161" s="61" t="s">
        <v>48</v>
      </c>
      <c r="C161" s="63"/>
      <c r="D161" s="63" t="s">
        <v>471</v>
      </c>
      <c r="E161" s="122">
        <v>46118.0</v>
      </c>
      <c r="F161" s="61" t="s">
        <v>51</v>
      </c>
      <c r="G161" s="63" t="s">
        <v>52</v>
      </c>
      <c r="H161" s="88">
        <f t="shared" si="45"/>
        <v>12605.04202</v>
      </c>
      <c r="I161" s="42">
        <f t="shared" si="46"/>
        <v>2394.957983</v>
      </c>
      <c r="J161" s="39">
        <v>0.0</v>
      </c>
      <c r="K161" s="48">
        <v>15000.0</v>
      </c>
      <c r="L161" s="57" t="s">
        <v>77</v>
      </c>
      <c r="M161" s="115" t="s">
        <v>37</v>
      </c>
      <c r="N161" s="57" t="s">
        <v>44</v>
      </c>
      <c r="O161" s="61" t="s">
        <v>476</v>
      </c>
      <c r="P161" s="57" t="s">
        <v>477</v>
      </c>
      <c r="Q161" s="57"/>
      <c r="R161" s="57"/>
      <c r="S161" s="57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</row>
    <row r="162" ht="35.25" customHeight="1">
      <c r="A162" s="121" t="s">
        <v>310</v>
      </c>
      <c r="B162" s="61" t="s">
        <v>48</v>
      </c>
      <c r="C162" s="63"/>
      <c r="D162" s="63" t="s">
        <v>478</v>
      </c>
      <c r="E162" s="122">
        <v>46118.0</v>
      </c>
      <c r="F162" s="61" t="s">
        <v>51</v>
      </c>
      <c r="G162" s="63" t="s">
        <v>52</v>
      </c>
      <c r="H162" s="88">
        <f t="shared" si="45"/>
        <v>109243.6975</v>
      </c>
      <c r="I162" s="42">
        <f t="shared" si="46"/>
        <v>20756.30252</v>
      </c>
      <c r="J162" s="39">
        <v>0.0</v>
      </c>
      <c r="K162" s="48">
        <v>130000.0</v>
      </c>
      <c r="L162" s="57" t="s">
        <v>77</v>
      </c>
      <c r="M162" s="115" t="s">
        <v>37</v>
      </c>
      <c r="N162" s="57" t="s">
        <v>46</v>
      </c>
      <c r="O162" s="61"/>
      <c r="P162" s="57" t="s">
        <v>479</v>
      </c>
      <c r="Q162" s="57"/>
      <c r="R162" s="57"/>
      <c r="S162" s="57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</row>
    <row r="163" ht="35.25" customHeight="1">
      <c r="A163" s="121" t="s">
        <v>310</v>
      </c>
      <c r="B163" s="61" t="s">
        <v>48</v>
      </c>
      <c r="C163" s="63"/>
      <c r="D163" s="63" t="s">
        <v>480</v>
      </c>
      <c r="E163" s="122">
        <v>46118.0</v>
      </c>
      <c r="F163" s="61" t="s">
        <v>51</v>
      </c>
      <c r="G163" s="63" t="s">
        <v>52</v>
      </c>
      <c r="H163" s="88">
        <f t="shared" si="45"/>
        <v>84033.61345</v>
      </c>
      <c r="I163" s="42">
        <f t="shared" si="46"/>
        <v>15966.38655</v>
      </c>
      <c r="J163" s="39">
        <v>0.0</v>
      </c>
      <c r="K163" s="48">
        <v>100000.0</v>
      </c>
      <c r="L163" s="57" t="s">
        <v>77</v>
      </c>
      <c r="M163" s="115" t="s">
        <v>37</v>
      </c>
      <c r="N163" s="57" t="s">
        <v>46</v>
      </c>
      <c r="O163" s="61"/>
      <c r="P163" s="57" t="s">
        <v>481</v>
      </c>
      <c r="Q163" s="57"/>
      <c r="R163" s="57"/>
      <c r="S163" s="57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</row>
    <row r="164" ht="22.5" customHeight="1">
      <c r="A164" s="121" t="s">
        <v>177</v>
      </c>
      <c r="B164" s="61" t="s">
        <v>48</v>
      </c>
      <c r="C164" s="63"/>
      <c r="D164" s="63" t="s">
        <v>482</v>
      </c>
      <c r="E164" s="122">
        <v>46118.0</v>
      </c>
      <c r="F164" s="61" t="s">
        <v>51</v>
      </c>
      <c r="G164" s="63" t="s">
        <v>52</v>
      </c>
      <c r="H164" s="88">
        <f t="shared" si="45"/>
        <v>66051.2605</v>
      </c>
      <c r="I164" s="42">
        <f t="shared" si="46"/>
        <v>12549.7395</v>
      </c>
      <c r="J164" s="39">
        <v>0.0</v>
      </c>
      <c r="K164" s="48">
        <v>78601.0</v>
      </c>
      <c r="L164" s="57" t="s">
        <v>77</v>
      </c>
      <c r="M164" s="115" t="s">
        <v>37</v>
      </c>
      <c r="N164" s="57" t="s">
        <v>46</v>
      </c>
      <c r="O164" s="61"/>
      <c r="P164" s="57" t="s">
        <v>483</v>
      </c>
      <c r="Q164" s="57"/>
      <c r="R164" s="57"/>
      <c r="S164" s="57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</row>
    <row r="165" ht="22.5" customHeight="1">
      <c r="A165" s="121" t="s">
        <v>310</v>
      </c>
      <c r="B165" s="61" t="s">
        <v>48</v>
      </c>
      <c r="C165" s="63"/>
      <c r="D165" s="63" t="s">
        <v>442</v>
      </c>
      <c r="E165" s="122">
        <v>46118.0</v>
      </c>
      <c r="F165" s="61" t="s">
        <v>51</v>
      </c>
      <c r="G165" s="63" t="s">
        <v>52</v>
      </c>
      <c r="H165" s="88">
        <f t="shared" si="45"/>
        <v>840336.1345</v>
      </c>
      <c r="I165" s="42">
        <f t="shared" si="46"/>
        <v>159663.8655</v>
      </c>
      <c r="J165" s="39">
        <v>0.0</v>
      </c>
      <c r="K165" s="48">
        <v>1000000.0</v>
      </c>
      <c r="L165" s="57" t="s">
        <v>77</v>
      </c>
      <c r="M165" s="115" t="s">
        <v>36</v>
      </c>
      <c r="N165" s="57" t="s">
        <v>44</v>
      </c>
      <c r="O165" s="57" t="s">
        <v>458</v>
      </c>
      <c r="P165" s="57" t="s">
        <v>484</v>
      </c>
      <c r="Q165" s="57"/>
      <c r="R165" s="57"/>
      <c r="S165" s="57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</row>
    <row r="166" ht="22.5" customHeight="1">
      <c r="A166" s="121"/>
      <c r="B166" s="31" t="s">
        <v>71</v>
      </c>
      <c r="C166" s="63"/>
      <c r="D166" s="32" t="s">
        <v>366</v>
      </c>
      <c r="E166" s="34">
        <v>46118.0</v>
      </c>
      <c r="F166" s="31" t="s">
        <v>212</v>
      </c>
      <c r="G166" s="32" t="s">
        <v>52</v>
      </c>
      <c r="H166" s="88">
        <f t="shared" si="45"/>
        <v>840336.1345</v>
      </c>
      <c r="I166" s="42">
        <f t="shared" si="46"/>
        <v>159663.8655</v>
      </c>
      <c r="J166" s="39">
        <v>0.0</v>
      </c>
      <c r="K166" s="102">
        <v>1000000.0</v>
      </c>
      <c r="L166" s="57" t="s">
        <v>77</v>
      </c>
      <c r="M166" s="51" t="s">
        <v>37</v>
      </c>
      <c r="N166" s="49" t="s">
        <v>44</v>
      </c>
      <c r="O166" s="49" t="s">
        <v>366</v>
      </c>
      <c r="P166" s="56" t="s">
        <v>448</v>
      </c>
      <c r="Q166" s="57"/>
      <c r="R166" s="57"/>
      <c r="S166" s="57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</row>
    <row r="167" ht="22.5" customHeight="1">
      <c r="A167" s="121"/>
      <c r="B167" s="31" t="s">
        <v>71</v>
      </c>
      <c r="C167" s="63"/>
      <c r="D167" s="32" t="s">
        <v>390</v>
      </c>
      <c r="E167" s="34">
        <v>46118.0</v>
      </c>
      <c r="F167" s="31" t="s">
        <v>212</v>
      </c>
      <c r="G167" s="32" t="s">
        <v>52</v>
      </c>
      <c r="H167" s="88">
        <f t="shared" si="45"/>
        <v>4536.97479</v>
      </c>
      <c r="I167" s="42">
        <f t="shared" si="46"/>
        <v>862.0252101</v>
      </c>
      <c r="J167" s="39">
        <v>0.0</v>
      </c>
      <c r="K167" s="102">
        <v>5399.0</v>
      </c>
      <c r="L167" s="57" t="s">
        <v>77</v>
      </c>
      <c r="M167" s="51" t="s">
        <v>37</v>
      </c>
      <c r="N167" s="49" t="s">
        <v>44</v>
      </c>
      <c r="O167" s="49" t="s">
        <v>390</v>
      </c>
      <c r="P167" s="56" t="s">
        <v>448</v>
      </c>
      <c r="Q167" s="57"/>
      <c r="R167" s="57"/>
      <c r="S167" s="57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</row>
    <row r="168" ht="22.5" customHeight="1">
      <c r="A168" s="28" t="s">
        <v>177</v>
      </c>
      <c r="B168" s="31" t="s">
        <v>48</v>
      </c>
      <c r="C168" s="32">
        <v>2.128824E7</v>
      </c>
      <c r="D168" s="32" t="s">
        <v>296</v>
      </c>
      <c r="E168" s="34">
        <v>46117.0</v>
      </c>
      <c r="F168" s="61"/>
      <c r="G168" s="63"/>
      <c r="H168" s="39">
        <v>28751.0</v>
      </c>
      <c r="I168" s="42">
        <v>5463.0</v>
      </c>
      <c r="J168" s="39">
        <v>0.0</v>
      </c>
      <c r="K168" s="48">
        <f>H168+I168</f>
        <v>34214</v>
      </c>
      <c r="L168" s="57" t="s">
        <v>77</v>
      </c>
      <c r="M168" s="51" t="s">
        <v>37</v>
      </c>
      <c r="N168" s="49" t="s">
        <v>46</v>
      </c>
      <c r="O168" s="49" t="s">
        <v>485</v>
      </c>
      <c r="P168" s="95" t="s">
        <v>486</v>
      </c>
      <c r="Q168" s="95" t="s">
        <v>487</v>
      </c>
      <c r="R168" s="57"/>
      <c r="S168" s="49" t="s">
        <v>66</v>
      </c>
      <c r="T168" s="59"/>
      <c r="U168" s="59"/>
      <c r="V168" s="59"/>
      <c r="W168" s="59"/>
      <c r="X168" s="59"/>
      <c r="Y168" s="59"/>
      <c r="Z168" s="59"/>
      <c r="AA168" s="59"/>
      <c r="AB168" s="59"/>
      <c r="AC168" s="59"/>
    </row>
    <row r="169" ht="22.5" customHeight="1">
      <c r="A169" s="121" t="s">
        <v>310</v>
      </c>
      <c r="B169" s="61" t="s">
        <v>48</v>
      </c>
      <c r="C169" s="63"/>
      <c r="D169" s="63" t="s">
        <v>471</v>
      </c>
      <c r="E169" s="122">
        <v>46114.0</v>
      </c>
      <c r="F169" s="61" t="s">
        <v>51</v>
      </c>
      <c r="G169" s="63" t="s">
        <v>52</v>
      </c>
      <c r="H169" s="88">
        <f>K169/1.19</f>
        <v>504201.6807</v>
      </c>
      <c r="I169" s="42">
        <f>H169*19%</f>
        <v>95798.31933</v>
      </c>
      <c r="J169" s="39">
        <v>0.0</v>
      </c>
      <c r="K169" s="48">
        <v>600000.0</v>
      </c>
      <c r="L169" s="57" t="s">
        <v>77</v>
      </c>
      <c r="M169" s="115" t="s">
        <v>37</v>
      </c>
      <c r="N169" s="57" t="s">
        <v>46</v>
      </c>
      <c r="O169" s="57" t="s">
        <v>488</v>
      </c>
      <c r="P169" s="57" t="s">
        <v>489</v>
      </c>
      <c r="Q169" s="57"/>
      <c r="R169" s="57"/>
      <c r="S169" s="57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</row>
    <row r="170" ht="22.5" customHeight="1">
      <c r="A170" s="28" t="s">
        <v>177</v>
      </c>
      <c r="B170" s="31" t="s">
        <v>71</v>
      </c>
      <c r="C170" s="32">
        <v>2.1277428E7</v>
      </c>
      <c r="D170" s="32" t="s">
        <v>490</v>
      </c>
      <c r="E170" s="34">
        <v>46113.0</v>
      </c>
      <c r="F170" s="61"/>
      <c r="G170" s="63"/>
      <c r="H170" s="39">
        <v>106001.0</v>
      </c>
      <c r="I170" s="42">
        <v>20140.0</v>
      </c>
      <c r="J170" s="39">
        <v>0.0</v>
      </c>
      <c r="K170" s="48">
        <f t="shared" ref="K170:K171" si="47">H170+I170</f>
        <v>126141</v>
      </c>
      <c r="L170" s="49" t="s">
        <v>77</v>
      </c>
      <c r="M170" s="51" t="s">
        <v>37</v>
      </c>
      <c r="N170" s="49" t="s">
        <v>46</v>
      </c>
      <c r="O170" s="49" t="s">
        <v>485</v>
      </c>
      <c r="P170" s="56" t="s">
        <v>491</v>
      </c>
      <c r="Q170" s="57"/>
      <c r="R170" s="57"/>
      <c r="S170" s="49" t="s">
        <v>66</v>
      </c>
      <c r="T170" s="59"/>
      <c r="U170" s="59"/>
      <c r="V170" s="59"/>
      <c r="W170" s="59"/>
      <c r="X170" s="59"/>
      <c r="Y170" s="59"/>
      <c r="Z170" s="59"/>
      <c r="AA170" s="59"/>
      <c r="AB170" s="59"/>
      <c r="AC170" s="59"/>
    </row>
    <row r="171" ht="22.5" customHeight="1">
      <c r="A171" s="28" t="s">
        <v>177</v>
      </c>
      <c r="B171" s="31" t="s">
        <v>71</v>
      </c>
      <c r="C171" s="32">
        <v>2.1277428E7</v>
      </c>
      <c r="D171" s="32" t="str">
        <f>D178</f>
        <v>Pago Servicio En Internet</v>
      </c>
      <c r="E171" s="34">
        <v>46113.0</v>
      </c>
      <c r="F171" s="61"/>
      <c r="G171" s="63"/>
      <c r="H171" s="39">
        <v>106001.0</v>
      </c>
      <c r="I171" s="42">
        <v>20140.0</v>
      </c>
      <c r="J171" s="39">
        <v>0.0</v>
      </c>
      <c r="K171" s="48">
        <f t="shared" si="47"/>
        <v>126141</v>
      </c>
      <c r="L171" s="49" t="s">
        <v>77</v>
      </c>
      <c r="M171" s="51" t="s">
        <v>37</v>
      </c>
      <c r="N171" s="49" t="s">
        <v>46</v>
      </c>
      <c r="O171" s="49" t="str">
        <f>O177</f>
        <v>ENTEL SERVICIOS +P6+A6:O6</v>
      </c>
      <c r="P171" s="56" t="s">
        <v>492</v>
      </c>
      <c r="Q171" s="57"/>
      <c r="R171" s="57"/>
      <c r="S171" s="49" t="s">
        <v>66</v>
      </c>
      <c r="T171" s="59"/>
      <c r="U171" s="59"/>
      <c r="V171" s="59"/>
      <c r="W171" s="59"/>
      <c r="X171" s="59"/>
      <c r="Y171" s="59"/>
      <c r="Z171" s="59"/>
      <c r="AA171" s="59"/>
      <c r="AB171" s="59"/>
      <c r="AC171" s="59"/>
    </row>
    <row r="172" ht="22.5" customHeight="1">
      <c r="A172" s="121" t="s">
        <v>69</v>
      </c>
      <c r="B172" s="61" t="s">
        <v>48</v>
      </c>
      <c r="C172" s="63"/>
      <c r="D172" s="63" t="s">
        <v>471</v>
      </c>
      <c r="E172" s="122">
        <v>46111.0</v>
      </c>
      <c r="F172" s="61" t="s">
        <v>51</v>
      </c>
      <c r="G172" s="63" t="s">
        <v>52</v>
      </c>
      <c r="H172" s="88">
        <f t="shared" ref="H172:H183" si="48">K172/1.19</f>
        <v>193095.7983</v>
      </c>
      <c r="I172" s="42">
        <f t="shared" ref="I172:I183" si="49">H172*19%</f>
        <v>36688.20168</v>
      </c>
      <c r="J172" s="39">
        <v>0.0</v>
      </c>
      <c r="K172" s="48">
        <v>229784.0</v>
      </c>
      <c r="L172" s="57" t="s">
        <v>77</v>
      </c>
      <c r="M172" s="115" t="s">
        <v>37</v>
      </c>
      <c r="N172" s="57" t="s">
        <v>46</v>
      </c>
      <c r="O172" s="57" t="s">
        <v>493</v>
      </c>
      <c r="P172" s="57" t="s">
        <v>494</v>
      </c>
      <c r="Q172" s="57"/>
      <c r="R172" s="57"/>
      <c r="S172" s="57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</row>
    <row r="173" ht="22.5" customHeight="1">
      <c r="A173" s="123" t="s">
        <v>40</v>
      </c>
      <c r="B173" s="124" t="s">
        <v>48</v>
      </c>
      <c r="C173" s="63">
        <v>13.0</v>
      </c>
      <c r="D173" s="63" t="s">
        <v>495</v>
      </c>
      <c r="E173" s="122">
        <v>46108.0</v>
      </c>
      <c r="F173" s="124" t="s">
        <v>51</v>
      </c>
      <c r="G173" s="125" t="s">
        <v>52</v>
      </c>
      <c r="H173" s="88">
        <f t="shared" si="48"/>
        <v>233078.1513</v>
      </c>
      <c r="I173" s="42">
        <f t="shared" si="49"/>
        <v>44284.84874</v>
      </c>
      <c r="J173" s="39">
        <v>0.0</v>
      </c>
      <c r="K173" s="48">
        <v>277363.0</v>
      </c>
      <c r="L173" s="57" t="s">
        <v>77</v>
      </c>
      <c r="M173" s="115" t="s">
        <v>37</v>
      </c>
      <c r="N173" s="57" t="s">
        <v>46</v>
      </c>
      <c r="O173" s="57" t="s">
        <v>496</v>
      </c>
      <c r="P173" s="57" t="s">
        <v>497</v>
      </c>
      <c r="Q173" s="57"/>
      <c r="R173" s="57"/>
      <c r="S173" s="57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</row>
    <row r="174" ht="22.5" customHeight="1">
      <c r="A174" s="123" t="s">
        <v>148</v>
      </c>
      <c r="B174" s="124" t="s">
        <v>48</v>
      </c>
      <c r="C174" s="63"/>
      <c r="D174" s="63" t="s">
        <v>498</v>
      </c>
      <c r="E174" s="122">
        <v>46108.0</v>
      </c>
      <c r="F174" s="124" t="s">
        <v>51</v>
      </c>
      <c r="G174" s="125" t="s">
        <v>52</v>
      </c>
      <c r="H174" s="88">
        <f t="shared" si="48"/>
        <v>23109.2437</v>
      </c>
      <c r="I174" s="42">
        <f t="shared" si="49"/>
        <v>4390.756303</v>
      </c>
      <c r="J174" s="39">
        <v>0.0</v>
      </c>
      <c r="K174" s="48">
        <v>27500.0</v>
      </c>
      <c r="L174" s="57" t="s">
        <v>77</v>
      </c>
      <c r="M174" s="115" t="s">
        <v>37</v>
      </c>
      <c r="N174" s="57" t="s">
        <v>44</v>
      </c>
      <c r="O174" s="57" t="s">
        <v>499</v>
      </c>
      <c r="P174" s="57" t="s">
        <v>500</v>
      </c>
      <c r="Q174" s="57"/>
      <c r="R174" s="57"/>
      <c r="S174" s="57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</row>
    <row r="175" ht="22.5" customHeight="1">
      <c r="A175" s="123" t="s">
        <v>40</v>
      </c>
      <c r="B175" s="124" t="s">
        <v>71</v>
      </c>
      <c r="C175" s="63"/>
      <c r="D175" s="63" t="s">
        <v>455</v>
      </c>
      <c r="E175" s="122">
        <v>46106.0</v>
      </c>
      <c r="F175" s="124" t="s">
        <v>51</v>
      </c>
      <c r="G175" s="125" t="s">
        <v>52</v>
      </c>
      <c r="H175" s="88">
        <f t="shared" si="48"/>
        <v>63025.21008</v>
      </c>
      <c r="I175" s="42">
        <f t="shared" si="49"/>
        <v>11974.78992</v>
      </c>
      <c r="J175" s="39">
        <v>0.0</v>
      </c>
      <c r="K175" s="48">
        <v>75000.0</v>
      </c>
      <c r="L175" s="57" t="s">
        <v>77</v>
      </c>
      <c r="M175" s="115" t="s">
        <v>37</v>
      </c>
      <c r="N175" s="57" t="s">
        <v>44</v>
      </c>
      <c r="O175" s="126" t="s">
        <v>501</v>
      </c>
      <c r="P175" s="57"/>
      <c r="Q175" s="57"/>
      <c r="R175" s="57"/>
      <c r="S175" s="57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</row>
    <row r="176" ht="20.25" customHeight="1">
      <c r="A176" s="123"/>
      <c r="B176" s="127" t="s">
        <v>71</v>
      </c>
      <c r="C176" s="32" t="s">
        <v>502</v>
      </c>
      <c r="D176" s="128" t="s">
        <v>222</v>
      </c>
      <c r="E176" s="129">
        <v>46104.0</v>
      </c>
      <c r="F176" s="127" t="s">
        <v>212</v>
      </c>
      <c r="G176" s="130" t="s">
        <v>187</v>
      </c>
      <c r="H176" s="48">
        <f t="shared" si="48"/>
        <v>15580.84034</v>
      </c>
      <c r="I176" s="48">
        <f t="shared" si="49"/>
        <v>2960.359664</v>
      </c>
      <c r="J176" s="42">
        <v>0.0</v>
      </c>
      <c r="K176" s="102">
        <v>18541.2</v>
      </c>
      <c r="L176" s="57" t="s">
        <v>77</v>
      </c>
      <c r="M176" s="51" t="s">
        <v>37</v>
      </c>
      <c r="N176" s="49" t="s">
        <v>46</v>
      </c>
      <c r="O176" s="128" t="s">
        <v>222</v>
      </c>
      <c r="P176" s="56" t="s">
        <v>503</v>
      </c>
      <c r="Q176" s="57"/>
      <c r="R176" s="57"/>
      <c r="S176" s="57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</row>
    <row r="177" ht="20.25" customHeight="1">
      <c r="A177" s="123" t="s">
        <v>177</v>
      </c>
      <c r="B177" s="124" t="s">
        <v>48</v>
      </c>
      <c r="C177" s="63"/>
      <c r="D177" s="131" t="s">
        <v>504</v>
      </c>
      <c r="E177" s="132">
        <v>46104.0</v>
      </c>
      <c r="F177" s="124" t="s">
        <v>51</v>
      </c>
      <c r="G177" s="125" t="s">
        <v>52</v>
      </c>
      <c r="H177" s="88">
        <f t="shared" si="48"/>
        <v>49347.89916</v>
      </c>
      <c r="I177" s="42">
        <f t="shared" si="49"/>
        <v>9376.10084</v>
      </c>
      <c r="J177" s="39">
        <v>0.0</v>
      </c>
      <c r="K177" s="48">
        <v>58724.0</v>
      </c>
      <c r="L177" s="57" t="s">
        <v>77</v>
      </c>
      <c r="M177" s="115" t="s">
        <v>37</v>
      </c>
      <c r="N177" s="57" t="s">
        <v>46</v>
      </c>
      <c r="O177" s="57" t="s">
        <v>505</v>
      </c>
      <c r="P177" s="57" t="s">
        <v>506</v>
      </c>
      <c r="Q177" s="57"/>
      <c r="R177" s="57"/>
      <c r="S177" s="57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</row>
    <row r="178" ht="22.5" customHeight="1">
      <c r="A178" s="123" t="s">
        <v>148</v>
      </c>
      <c r="B178" s="124" t="s">
        <v>48</v>
      </c>
      <c r="C178" s="63"/>
      <c r="D178" s="131" t="s">
        <v>507</v>
      </c>
      <c r="E178" s="132">
        <v>46104.0</v>
      </c>
      <c r="F178" s="124" t="s">
        <v>51</v>
      </c>
      <c r="G178" s="125" t="s">
        <v>52</v>
      </c>
      <c r="H178" s="88">
        <f t="shared" si="48"/>
        <v>3697.478992</v>
      </c>
      <c r="I178" s="42">
        <f t="shared" si="49"/>
        <v>702.5210084</v>
      </c>
      <c r="J178" s="39">
        <v>0.0</v>
      </c>
      <c r="K178" s="48">
        <v>4400.0</v>
      </c>
      <c r="L178" s="57" t="s">
        <v>77</v>
      </c>
      <c r="M178" s="115" t="s">
        <v>37</v>
      </c>
      <c r="N178" s="57" t="s">
        <v>46</v>
      </c>
      <c r="O178" s="57" t="s">
        <v>508</v>
      </c>
      <c r="P178" s="133" t="s">
        <v>509</v>
      </c>
      <c r="Q178" s="57" t="s">
        <v>510</v>
      </c>
      <c r="R178" s="57"/>
      <c r="S178" s="57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</row>
    <row r="179" ht="22.5" customHeight="1">
      <c r="A179" s="123" t="s">
        <v>177</v>
      </c>
      <c r="B179" s="124" t="s">
        <v>48</v>
      </c>
      <c r="C179" s="63"/>
      <c r="D179" s="131" t="s">
        <v>507</v>
      </c>
      <c r="E179" s="134">
        <v>46104.0</v>
      </c>
      <c r="F179" s="124" t="s">
        <v>51</v>
      </c>
      <c r="G179" s="125" t="s">
        <v>52</v>
      </c>
      <c r="H179" s="88">
        <f t="shared" si="48"/>
        <v>38031.93277</v>
      </c>
      <c r="I179" s="42">
        <f t="shared" si="49"/>
        <v>7226.067227</v>
      </c>
      <c r="J179" s="39">
        <v>0.0</v>
      </c>
      <c r="K179" s="135">
        <v>45258.0</v>
      </c>
      <c r="L179" s="57" t="s">
        <v>77</v>
      </c>
      <c r="M179" s="115" t="s">
        <v>37</v>
      </c>
      <c r="N179" s="57" t="s">
        <v>46</v>
      </c>
      <c r="O179" s="57" t="s">
        <v>511</v>
      </c>
      <c r="P179" s="133" t="s">
        <v>512</v>
      </c>
      <c r="Q179" s="57" t="s">
        <v>513</v>
      </c>
      <c r="R179" s="57"/>
      <c r="S179" s="57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</row>
    <row r="180" ht="22.5" customHeight="1">
      <c r="A180" s="123" t="s">
        <v>148</v>
      </c>
      <c r="B180" s="124" t="s">
        <v>48</v>
      </c>
      <c r="C180" s="63"/>
      <c r="D180" s="131" t="s">
        <v>514</v>
      </c>
      <c r="E180" s="132">
        <v>46104.0</v>
      </c>
      <c r="F180" s="124" t="s">
        <v>51</v>
      </c>
      <c r="G180" s="125" t="s">
        <v>52</v>
      </c>
      <c r="H180" s="88">
        <f t="shared" si="48"/>
        <v>48739.4958</v>
      </c>
      <c r="I180" s="42">
        <f t="shared" si="49"/>
        <v>9260.504202</v>
      </c>
      <c r="J180" s="39">
        <v>0.0</v>
      </c>
      <c r="K180" s="48">
        <v>58000.0</v>
      </c>
      <c r="L180" s="57" t="s">
        <v>77</v>
      </c>
      <c r="M180" s="57" t="s">
        <v>36</v>
      </c>
      <c r="N180" s="57" t="s">
        <v>46</v>
      </c>
      <c r="O180" s="57" t="s">
        <v>515</v>
      </c>
      <c r="P180" s="57"/>
      <c r="Q180" s="57"/>
      <c r="R180" s="57"/>
      <c r="S180" s="57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</row>
    <row r="181" ht="22.5" customHeight="1">
      <c r="A181" s="123" t="s">
        <v>148</v>
      </c>
      <c r="B181" s="124" t="s">
        <v>48</v>
      </c>
      <c r="C181" s="63"/>
      <c r="D181" s="131" t="s">
        <v>516</v>
      </c>
      <c r="E181" s="132">
        <v>46104.0</v>
      </c>
      <c r="F181" s="124" t="s">
        <v>51</v>
      </c>
      <c r="G181" s="125" t="s">
        <v>52</v>
      </c>
      <c r="H181" s="88">
        <f t="shared" si="48"/>
        <v>58949.57983</v>
      </c>
      <c r="I181" s="42">
        <f t="shared" si="49"/>
        <v>11200.42017</v>
      </c>
      <c r="J181" s="39">
        <v>0.0</v>
      </c>
      <c r="K181" s="48">
        <v>70150.0</v>
      </c>
      <c r="L181" s="57" t="s">
        <v>77</v>
      </c>
      <c r="M181" s="115" t="s">
        <v>37</v>
      </c>
      <c r="N181" s="57" t="s">
        <v>44</v>
      </c>
      <c r="O181" s="57" t="s">
        <v>517</v>
      </c>
      <c r="P181" s="57" t="s">
        <v>518</v>
      </c>
      <c r="Q181" s="57"/>
      <c r="R181" s="57"/>
      <c r="S181" s="57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</row>
    <row r="182" ht="22.5" customHeight="1">
      <c r="A182" s="123" t="s">
        <v>69</v>
      </c>
      <c r="B182" s="124" t="s">
        <v>48</v>
      </c>
      <c r="C182" s="63"/>
      <c r="D182" s="131" t="s">
        <v>449</v>
      </c>
      <c r="E182" s="132">
        <v>46101.0</v>
      </c>
      <c r="F182" s="124" t="s">
        <v>51</v>
      </c>
      <c r="G182" s="125" t="s">
        <v>52</v>
      </c>
      <c r="H182" s="88">
        <f t="shared" si="48"/>
        <v>23870.58824</v>
      </c>
      <c r="I182" s="42">
        <f t="shared" si="49"/>
        <v>4535.411765</v>
      </c>
      <c r="J182" s="39">
        <v>0.0</v>
      </c>
      <c r="K182" s="48">
        <v>28406.0</v>
      </c>
      <c r="L182" s="57" t="s">
        <v>77</v>
      </c>
      <c r="M182" s="115" t="s">
        <v>37</v>
      </c>
      <c r="N182" s="57" t="s">
        <v>46</v>
      </c>
      <c r="O182" s="57" t="s">
        <v>519</v>
      </c>
      <c r="P182" s="57" t="s">
        <v>520</v>
      </c>
      <c r="Q182" s="57"/>
      <c r="R182" s="57"/>
      <c r="S182" s="57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</row>
    <row r="183" ht="22.5" customHeight="1">
      <c r="A183" s="123"/>
      <c r="B183" s="127" t="s">
        <v>71</v>
      </c>
      <c r="C183" s="63"/>
      <c r="D183" s="128" t="s">
        <v>412</v>
      </c>
      <c r="E183" s="129">
        <v>46101.0</v>
      </c>
      <c r="F183" s="127" t="s">
        <v>212</v>
      </c>
      <c r="G183" s="130" t="s">
        <v>52</v>
      </c>
      <c r="H183" s="88">
        <f t="shared" si="48"/>
        <v>3390368.908</v>
      </c>
      <c r="I183" s="42">
        <f t="shared" si="49"/>
        <v>644170.0924</v>
      </c>
      <c r="J183" s="39">
        <v>0.0</v>
      </c>
      <c r="K183" s="102">
        <v>4034539.0</v>
      </c>
      <c r="L183" s="57" t="s">
        <v>77</v>
      </c>
      <c r="M183" s="51" t="s">
        <v>37</v>
      </c>
      <c r="N183" s="49" t="s">
        <v>44</v>
      </c>
      <c r="O183" s="49" t="s">
        <v>412</v>
      </c>
      <c r="P183" s="136" t="s">
        <v>521</v>
      </c>
      <c r="Q183" s="57"/>
      <c r="R183" s="57"/>
      <c r="S183" s="57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</row>
    <row r="184" ht="22.5" customHeight="1">
      <c r="A184" s="123" t="s">
        <v>40</v>
      </c>
      <c r="B184" s="124" t="s">
        <v>48</v>
      </c>
      <c r="C184" s="63"/>
      <c r="D184" s="131" t="s">
        <v>455</v>
      </c>
      <c r="E184" s="132">
        <v>46094.0</v>
      </c>
      <c r="F184" s="124" t="s">
        <v>51</v>
      </c>
      <c r="G184" s="125" t="s">
        <v>52</v>
      </c>
      <c r="H184" s="88">
        <v>250000.0</v>
      </c>
      <c r="I184" s="42">
        <v>0.0</v>
      </c>
      <c r="J184" s="88">
        <v>44985.0</v>
      </c>
      <c r="K184" s="48">
        <v>294985.0</v>
      </c>
      <c r="L184" s="57" t="s">
        <v>77</v>
      </c>
      <c r="M184" s="115" t="s">
        <v>37</v>
      </c>
      <c r="N184" s="57" t="s">
        <v>46</v>
      </c>
      <c r="O184" s="49" t="s">
        <v>522</v>
      </c>
      <c r="P184" s="57" t="s">
        <v>523</v>
      </c>
      <c r="Q184" s="57"/>
      <c r="R184" s="57"/>
      <c r="S184" s="57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</row>
    <row r="185" ht="22.5" customHeight="1">
      <c r="A185" s="123"/>
      <c r="B185" s="127" t="s">
        <v>71</v>
      </c>
      <c r="C185" s="63"/>
      <c r="D185" s="128" t="s">
        <v>524</v>
      </c>
      <c r="E185" s="129">
        <v>46094.0</v>
      </c>
      <c r="F185" s="127" t="s">
        <v>212</v>
      </c>
      <c r="G185" s="130" t="s">
        <v>52</v>
      </c>
      <c r="H185" s="88">
        <f>K185/1.19</f>
        <v>3390217.647</v>
      </c>
      <c r="I185" s="48">
        <f>H185*19%</f>
        <v>644141.3529</v>
      </c>
      <c r="J185" s="39">
        <v>0.0</v>
      </c>
      <c r="K185" s="102">
        <v>4034359.0</v>
      </c>
      <c r="L185" s="57" t="s">
        <v>77</v>
      </c>
      <c r="M185" s="51" t="s">
        <v>36</v>
      </c>
      <c r="N185" s="49" t="s">
        <v>44</v>
      </c>
      <c r="O185" s="49" t="s">
        <v>524</v>
      </c>
      <c r="P185" s="136" t="s">
        <v>521</v>
      </c>
      <c r="Q185" s="57"/>
      <c r="R185" s="57"/>
      <c r="S185" s="57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</row>
    <row r="186" ht="22.5" customHeight="1">
      <c r="A186" s="123" t="s">
        <v>69</v>
      </c>
      <c r="B186" s="124" t="s">
        <v>48</v>
      </c>
      <c r="C186" s="63"/>
      <c r="D186" s="131" t="s">
        <v>460</v>
      </c>
      <c r="E186" s="132">
        <v>46092.0</v>
      </c>
      <c r="F186" s="124" t="s">
        <v>51</v>
      </c>
      <c r="G186" s="125" t="s">
        <v>52</v>
      </c>
      <c r="H186" s="106"/>
      <c r="I186" s="99">
        <v>0.0</v>
      </c>
      <c r="J186" s="106">
        <v>129630.0</v>
      </c>
      <c r="K186" s="114">
        <f>Registro!$J192</f>
        <v>0</v>
      </c>
      <c r="L186" s="57" t="s">
        <v>77</v>
      </c>
      <c r="M186" s="115" t="s">
        <v>37</v>
      </c>
      <c r="N186" s="57" t="s">
        <v>46</v>
      </c>
      <c r="O186" s="57" t="s">
        <v>525</v>
      </c>
      <c r="P186" s="57"/>
      <c r="Q186" s="57"/>
      <c r="R186" s="57"/>
      <c r="S186" s="57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</row>
    <row r="187" ht="22.5" customHeight="1">
      <c r="A187" s="123" t="s">
        <v>148</v>
      </c>
      <c r="B187" s="124" t="s">
        <v>48</v>
      </c>
      <c r="C187" s="63"/>
      <c r="D187" s="131" t="s">
        <v>464</v>
      </c>
      <c r="E187" s="132">
        <v>46092.0</v>
      </c>
      <c r="F187" s="124" t="s">
        <v>51</v>
      </c>
      <c r="G187" s="125" t="s">
        <v>52</v>
      </c>
      <c r="H187" s="88">
        <f t="shared" ref="H187:H210" si="50">K187/1.19</f>
        <v>33437.81513</v>
      </c>
      <c r="I187" s="48">
        <f t="shared" ref="I187:I210" si="51">H187*19%</f>
        <v>6353.184874</v>
      </c>
      <c r="J187" s="39">
        <v>0.0</v>
      </c>
      <c r="K187" s="48">
        <v>39791.0</v>
      </c>
      <c r="L187" s="57" t="s">
        <v>77</v>
      </c>
      <c r="M187" s="115" t="s">
        <v>37</v>
      </c>
      <c r="N187" s="57" t="s">
        <v>46</v>
      </c>
      <c r="O187" s="57" t="s">
        <v>526</v>
      </c>
      <c r="P187" s="57"/>
      <c r="Q187" s="57"/>
      <c r="R187" s="57"/>
      <c r="S187" s="57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</row>
    <row r="188" ht="22.5" customHeight="1">
      <c r="A188" s="123" t="s">
        <v>148</v>
      </c>
      <c r="B188" s="124" t="s">
        <v>48</v>
      </c>
      <c r="C188" s="63"/>
      <c r="D188" s="131" t="s">
        <v>527</v>
      </c>
      <c r="E188" s="132">
        <v>46090.0</v>
      </c>
      <c r="F188" s="124" t="s">
        <v>51</v>
      </c>
      <c r="G188" s="125" t="s">
        <v>52</v>
      </c>
      <c r="H188" s="88">
        <f t="shared" si="50"/>
        <v>1685882.353</v>
      </c>
      <c r="I188" s="48">
        <f t="shared" si="51"/>
        <v>320317.6471</v>
      </c>
      <c r="J188" s="39">
        <v>0.0</v>
      </c>
      <c r="K188" s="48">
        <v>2006200.0</v>
      </c>
      <c r="L188" s="57" t="s">
        <v>77</v>
      </c>
      <c r="M188" s="115" t="s">
        <v>36</v>
      </c>
      <c r="N188" s="57" t="s">
        <v>44</v>
      </c>
      <c r="O188" s="57" t="s">
        <v>528</v>
      </c>
      <c r="P188" s="57"/>
      <c r="Q188" s="57"/>
      <c r="R188" s="57"/>
      <c r="S188" s="57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</row>
    <row r="189" ht="22.5" customHeight="1">
      <c r="A189" s="123"/>
      <c r="B189" s="127" t="s">
        <v>71</v>
      </c>
      <c r="C189" s="63"/>
      <c r="D189" s="128" t="s">
        <v>529</v>
      </c>
      <c r="E189" s="129">
        <v>46090.0</v>
      </c>
      <c r="F189" s="127" t="s">
        <v>212</v>
      </c>
      <c r="G189" s="130" t="s">
        <v>52</v>
      </c>
      <c r="H189" s="88">
        <f t="shared" si="50"/>
        <v>2949065.546</v>
      </c>
      <c r="I189" s="48">
        <f t="shared" si="51"/>
        <v>560322.4538</v>
      </c>
      <c r="J189" s="39">
        <v>0.0</v>
      </c>
      <c r="K189" s="102">
        <v>3509388.0</v>
      </c>
      <c r="L189" s="57" t="s">
        <v>77</v>
      </c>
      <c r="M189" s="51" t="s">
        <v>36</v>
      </c>
      <c r="N189" s="49" t="s">
        <v>44</v>
      </c>
      <c r="O189" s="49" t="s">
        <v>529</v>
      </c>
      <c r="P189" s="136" t="s">
        <v>521</v>
      </c>
      <c r="Q189" s="57"/>
      <c r="R189" s="57"/>
      <c r="S189" s="57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</row>
    <row r="190" ht="22.5" customHeight="1">
      <c r="A190" s="123" t="s">
        <v>148</v>
      </c>
      <c r="B190" s="124" t="s">
        <v>48</v>
      </c>
      <c r="C190" s="63"/>
      <c r="D190" s="131" t="s">
        <v>480</v>
      </c>
      <c r="E190" s="137">
        <v>46086.0</v>
      </c>
      <c r="F190" s="124" t="s">
        <v>51</v>
      </c>
      <c r="G190" s="125" t="s">
        <v>52</v>
      </c>
      <c r="H190" s="88">
        <f t="shared" si="50"/>
        <v>84033.61345</v>
      </c>
      <c r="I190" s="48">
        <f t="shared" si="51"/>
        <v>15966.38655</v>
      </c>
      <c r="J190" s="39">
        <v>0.0</v>
      </c>
      <c r="K190" s="48">
        <v>100000.0</v>
      </c>
      <c r="L190" s="57" t="s">
        <v>77</v>
      </c>
      <c r="M190" s="115" t="s">
        <v>37</v>
      </c>
      <c r="N190" s="57" t="s">
        <v>46</v>
      </c>
      <c r="O190" s="57" t="s">
        <v>530</v>
      </c>
      <c r="P190" s="57"/>
      <c r="Q190" s="57"/>
      <c r="R190" s="57"/>
      <c r="S190" s="57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</row>
    <row r="191" ht="22.5" customHeight="1">
      <c r="A191" s="123" t="s">
        <v>148</v>
      </c>
      <c r="B191" s="124" t="s">
        <v>48</v>
      </c>
      <c r="C191" s="63"/>
      <c r="D191" s="131" t="s">
        <v>478</v>
      </c>
      <c r="E191" s="137">
        <v>46086.0</v>
      </c>
      <c r="F191" s="124" t="s">
        <v>51</v>
      </c>
      <c r="G191" s="125" t="s">
        <v>52</v>
      </c>
      <c r="H191" s="88">
        <f t="shared" si="50"/>
        <v>109243.6975</v>
      </c>
      <c r="I191" s="48">
        <f t="shared" si="51"/>
        <v>20756.30252</v>
      </c>
      <c r="J191" s="39">
        <v>0.0</v>
      </c>
      <c r="K191" s="48">
        <v>130000.0</v>
      </c>
      <c r="L191" s="57" t="s">
        <v>77</v>
      </c>
      <c r="M191" s="115" t="s">
        <v>37</v>
      </c>
      <c r="N191" s="57" t="s">
        <v>46</v>
      </c>
      <c r="O191" s="57" t="s">
        <v>531</v>
      </c>
      <c r="P191" s="133" t="s">
        <v>532</v>
      </c>
      <c r="Q191" s="57"/>
      <c r="R191" s="57"/>
      <c r="S191" s="57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</row>
    <row r="192" ht="22.5" customHeight="1">
      <c r="A192" s="123" t="s">
        <v>148</v>
      </c>
      <c r="B192" s="124" t="s">
        <v>48</v>
      </c>
      <c r="C192" s="63"/>
      <c r="D192" s="131" t="s">
        <v>533</v>
      </c>
      <c r="E192" s="137">
        <v>46086.0</v>
      </c>
      <c r="F192" s="124" t="s">
        <v>51</v>
      </c>
      <c r="G192" s="125" t="s">
        <v>52</v>
      </c>
      <c r="H192" s="88">
        <f t="shared" si="50"/>
        <v>821572.2689</v>
      </c>
      <c r="I192" s="48">
        <f t="shared" si="51"/>
        <v>156098.7311</v>
      </c>
      <c r="J192" s="39">
        <v>0.0</v>
      </c>
      <c r="K192" s="48">
        <v>977671.0</v>
      </c>
      <c r="L192" s="57" t="s">
        <v>77</v>
      </c>
      <c r="M192" s="115" t="s">
        <v>37</v>
      </c>
      <c r="N192" s="57" t="s">
        <v>44</v>
      </c>
      <c r="O192" s="57"/>
      <c r="P192" s="133" t="s">
        <v>534</v>
      </c>
      <c r="Q192" s="57"/>
      <c r="R192" s="57"/>
      <c r="S192" s="57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</row>
    <row r="193" ht="22.5" customHeight="1">
      <c r="A193" s="123" t="s">
        <v>148</v>
      </c>
      <c r="B193" s="124" t="s">
        <v>48</v>
      </c>
      <c r="C193" s="63"/>
      <c r="D193" s="131" t="s">
        <v>533</v>
      </c>
      <c r="E193" s="137">
        <v>46086.0</v>
      </c>
      <c r="F193" s="124" t="s">
        <v>51</v>
      </c>
      <c r="G193" s="125" t="s">
        <v>52</v>
      </c>
      <c r="H193" s="88">
        <f t="shared" si="50"/>
        <v>29790.7563</v>
      </c>
      <c r="I193" s="48">
        <f t="shared" si="51"/>
        <v>5660.243697</v>
      </c>
      <c r="J193" s="39">
        <v>0.0</v>
      </c>
      <c r="K193" s="48">
        <v>35451.0</v>
      </c>
      <c r="L193" s="57" t="s">
        <v>77</v>
      </c>
      <c r="M193" s="115" t="s">
        <v>37</v>
      </c>
      <c r="N193" s="57" t="s">
        <v>46</v>
      </c>
      <c r="O193" s="57" t="s">
        <v>535</v>
      </c>
      <c r="P193" s="133" t="s">
        <v>536</v>
      </c>
      <c r="Q193" s="57"/>
      <c r="R193" s="57"/>
      <c r="S193" s="57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</row>
    <row r="194" ht="22.5" customHeight="1">
      <c r="A194" s="123" t="s">
        <v>148</v>
      </c>
      <c r="B194" s="124" t="s">
        <v>48</v>
      </c>
      <c r="C194" s="63"/>
      <c r="D194" s="131" t="s">
        <v>537</v>
      </c>
      <c r="E194" s="137">
        <v>46086.0</v>
      </c>
      <c r="F194" s="124" t="s">
        <v>51</v>
      </c>
      <c r="G194" s="125" t="s">
        <v>52</v>
      </c>
      <c r="H194" s="88">
        <f t="shared" si="50"/>
        <v>672268.9076</v>
      </c>
      <c r="I194" s="48">
        <f t="shared" si="51"/>
        <v>127731.0924</v>
      </c>
      <c r="J194" s="39">
        <v>0.0</v>
      </c>
      <c r="K194" s="48">
        <v>800000.0</v>
      </c>
      <c r="L194" s="57" t="s">
        <v>77</v>
      </c>
      <c r="M194" s="115" t="s">
        <v>37</v>
      </c>
      <c r="N194" s="57" t="s">
        <v>46</v>
      </c>
      <c r="O194" s="57" t="s">
        <v>496</v>
      </c>
      <c r="P194" s="57"/>
      <c r="Q194" s="57"/>
      <c r="R194" s="57"/>
      <c r="S194" s="57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</row>
    <row r="195" ht="22.5" customHeight="1">
      <c r="A195" s="123" t="s">
        <v>148</v>
      </c>
      <c r="B195" s="124" t="s">
        <v>48</v>
      </c>
      <c r="C195" s="63"/>
      <c r="D195" s="131" t="s">
        <v>537</v>
      </c>
      <c r="E195" s="137">
        <v>46086.0</v>
      </c>
      <c r="F195" s="124" t="s">
        <v>51</v>
      </c>
      <c r="G195" s="125" t="s">
        <v>52</v>
      </c>
      <c r="H195" s="88">
        <f t="shared" si="50"/>
        <v>171505.042</v>
      </c>
      <c r="I195" s="48">
        <f t="shared" si="51"/>
        <v>32585.95798</v>
      </c>
      <c r="J195" s="39">
        <v>0.0</v>
      </c>
      <c r="K195" s="48">
        <v>204091.0</v>
      </c>
      <c r="L195" s="57" t="s">
        <v>77</v>
      </c>
      <c r="M195" s="115" t="s">
        <v>37</v>
      </c>
      <c r="N195" s="57" t="s">
        <v>46</v>
      </c>
      <c r="O195" s="57" t="s">
        <v>538</v>
      </c>
      <c r="P195" s="133" t="s">
        <v>539</v>
      </c>
      <c r="Q195" s="57"/>
      <c r="R195" s="57"/>
      <c r="S195" s="57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</row>
    <row r="196" ht="22.5" customHeight="1">
      <c r="A196" s="123" t="s">
        <v>148</v>
      </c>
      <c r="B196" s="124" t="s">
        <v>48</v>
      </c>
      <c r="C196" s="63"/>
      <c r="D196" s="131" t="s">
        <v>537</v>
      </c>
      <c r="E196" s="137">
        <v>46086.0</v>
      </c>
      <c r="F196" s="124" t="s">
        <v>51</v>
      </c>
      <c r="G196" s="125" t="s">
        <v>52</v>
      </c>
      <c r="H196" s="88">
        <f t="shared" si="50"/>
        <v>56250.42017</v>
      </c>
      <c r="I196" s="48">
        <f t="shared" si="51"/>
        <v>10687.57983</v>
      </c>
      <c r="J196" s="39">
        <v>0.0</v>
      </c>
      <c r="K196" s="48">
        <v>66938.0</v>
      </c>
      <c r="L196" s="57" t="s">
        <v>77</v>
      </c>
      <c r="M196" s="115" t="s">
        <v>37</v>
      </c>
      <c r="N196" s="57" t="s">
        <v>46</v>
      </c>
      <c r="O196" s="57" t="s">
        <v>540</v>
      </c>
      <c r="P196" s="57"/>
      <c r="Q196" s="57"/>
      <c r="R196" s="57"/>
      <c r="S196" s="57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</row>
    <row r="197" ht="22.5" customHeight="1">
      <c r="A197" s="123" t="s">
        <v>148</v>
      </c>
      <c r="B197" s="124" t="s">
        <v>48</v>
      </c>
      <c r="C197" s="63"/>
      <c r="D197" s="131" t="s">
        <v>537</v>
      </c>
      <c r="E197" s="137">
        <v>46086.0</v>
      </c>
      <c r="F197" s="124" t="s">
        <v>51</v>
      </c>
      <c r="G197" s="125" t="s">
        <v>52</v>
      </c>
      <c r="H197" s="88">
        <f t="shared" si="50"/>
        <v>25205.88235</v>
      </c>
      <c r="I197" s="48">
        <f t="shared" si="51"/>
        <v>4789.117647</v>
      </c>
      <c r="J197" s="39">
        <v>0.0</v>
      </c>
      <c r="K197" s="48">
        <v>29995.0</v>
      </c>
      <c r="L197" s="57" t="s">
        <v>77</v>
      </c>
      <c r="M197" s="115" t="s">
        <v>37</v>
      </c>
      <c r="N197" s="57" t="s">
        <v>46</v>
      </c>
      <c r="O197" s="57" t="s">
        <v>541</v>
      </c>
      <c r="P197" s="57"/>
      <c r="Q197" s="57"/>
      <c r="R197" s="57"/>
      <c r="S197" s="57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</row>
    <row r="198" ht="22.5" customHeight="1">
      <c r="A198" s="123" t="s">
        <v>148</v>
      </c>
      <c r="B198" s="124" t="s">
        <v>48</v>
      </c>
      <c r="C198" s="63"/>
      <c r="D198" s="131" t="s">
        <v>537</v>
      </c>
      <c r="E198" s="137">
        <v>46086.0</v>
      </c>
      <c r="F198" s="124" t="s">
        <v>51</v>
      </c>
      <c r="G198" s="125" t="s">
        <v>52</v>
      </c>
      <c r="H198" s="88">
        <f t="shared" si="50"/>
        <v>190325.2101</v>
      </c>
      <c r="I198" s="48">
        <f t="shared" si="51"/>
        <v>36161.78992</v>
      </c>
      <c r="J198" s="39">
        <v>0.0</v>
      </c>
      <c r="K198" s="48">
        <v>226487.0</v>
      </c>
      <c r="L198" s="57" t="s">
        <v>77</v>
      </c>
      <c r="M198" s="115" t="s">
        <v>37</v>
      </c>
      <c r="N198" s="57" t="s">
        <v>44</v>
      </c>
      <c r="O198" s="57" t="s">
        <v>542</v>
      </c>
      <c r="P198" s="133" t="s">
        <v>543</v>
      </c>
      <c r="Q198" s="57"/>
      <c r="R198" s="57"/>
      <c r="S198" s="57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</row>
    <row r="199" ht="22.5" customHeight="1">
      <c r="A199" s="123" t="s">
        <v>148</v>
      </c>
      <c r="B199" s="124" t="s">
        <v>48</v>
      </c>
      <c r="C199" s="63"/>
      <c r="D199" s="131" t="s">
        <v>507</v>
      </c>
      <c r="E199" s="137">
        <v>46086.0</v>
      </c>
      <c r="F199" s="124" t="s">
        <v>51</v>
      </c>
      <c r="G199" s="125" t="s">
        <v>52</v>
      </c>
      <c r="H199" s="88">
        <f t="shared" si="50"/>
        <v>38031.93277</v>
      </c>
      <c r="I199" s="48">
        <f t="shared" si="51"/>
        <v>7226.067227</v>
      </c>
      <c r="J199" s="39">
        <v>0.0</v>
      </c>
      <c r="K199" s="135">
        <v>45258.0</v>
      </c>
      <c r="L199" s="57" t="s">
        <v>77</v>
      </c>
      <c r="M199" s="115" t="s">
        <v>37</v>
      </c>
      <c r="N199" s="57" t="s">
        <v>46</v>
      </c>
      <c r="O199" s="57" t="s">
        <v>544</v>
      </c>
      <c r="P199" s="57" t="s">
        <v>545</v>
      </c>
      <c r="Q199" s="57"/>
      <c r="R199" s="57"/>
      <c r="S199" s="57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</row>
    <row r="200" ht="22.5" customHeight="1">
      <c r="A200" s="123" t="s">
        <v>148</v>
      </c>
      <c r="B200" s="124" t="s">
        <v>48</v>
      </c>
      <c r="C200" s="63"/>
      <c r="D200" s="131" t="s">
        <v>546</v>
      </c>
      <c r="E200" s="137">
        <v>46086.0</v>
      </c>
      <c r="F200" s="124" t="s">
        <v>51</v>
      </c>
      <c r="G200" s="125" t="s">
        <v>52</v>
      </c>
      <c r="H200" s="88">
        <f t="shared" si="50"/>
        <v>821572.2689</v>
      </c>
      <c r="I200" s="48">
        <f t="shared" si="51"/>
        <v>156098.7311</v>
      </c>
      <c r="J200" s="39">
        <v>0.0</v>
      </c>
      <c r="K200" s="48">
        <v>977671.0</v>
      </c>
      <c r="L200" s="57" t="s">
        <v>77</v>
      </c>
      <c r="M200" s="115" t="s">
        <v>36</v>
      </c>
      <c r="N200" s="57" t="s">
        <v>44</v>
      </c>
      <c r="O200" s="57"/>
      <c r="P200" s="57"/>
      <c r="Q200" s="57"/>
      <c r="R200" s="57"/>
      <c r="S200" s="57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</row>
    <row r="201" ht="22.5" customHeight="1">
      <c r="A201" s="123" t="s">
        <v>148</v>
      </c>
      <c r="B201" s="124" t="s">
        <v>48</v>
      </c>
      <c r="C201" s="63"/>
      <c r="D201" s="131" t="s">
        <v>442</v>
      </c>
      <c r="E201" s="137">
        <v>46086.0</v>
      </c>
      <c r="F201" s="124" t="s">
        <v>51</v>
      </c>
      <c r="G201" s="125" t="s">
        <v>52</v>
      </c>
      <c r="H201" s="88">
        <f t="shared" si="50"/>
        <v>1685572.269</v>
      </c>
      <c r="I201" s="48">
        <f t="shared" si="51"/>
        <v>320258.7311</v>
      </c>
      <c r="J201" s="39">
        <v>0.0</v>
      </c>
      <c r="K201" s="48">
        <v>2005831.0</v>
      </c>
      <c r="L201" s="57" t="s">
        <v>77</v>
      </c>
      <c r="M201" s="115" t="s">
        <v>36</v>
      </c>
      <c r="N201" s="57" t="s">
        <v>44</v>
      </c>
      <c r="O201" s="57" t="s">
        <v>547</v>
      </c>
      <c r="P201" s="57"/>
      <c r="Q201" s="57"/>
      <c r="R201" s="57"/>
      <c r="S201" s="57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</row>
    <row r="202" ht="22.5" customHeight="1">
      <c r="A202" s="138"/>
      <c r="B202" s="139" t="s">
        <v>71</v>
      </c>
      <c r="C202" s="61"/>
      <c r="D202" s="31" t="s">
        <v>412</v>
      </c>
      <c r="E202" s="140">
        <v>46086.0</v>
      </c>
      <c r="F202" s="139" t="s">
        <v>212</v>
      </c>
      <c r="G202" s="139" t="s">
        <v>52</v>
      </c>
      <c r="H202" s="135">
        <f t="shared" si="50"/>
        <v>821572.2689</v>
      </c>
      <c r="I202" s="135">
        <f t="shared" si="51"/>
        <v>156098.7311</v>
      </c>
      <c r="J202" s="141">
        <v>0.0</v>
      </c>
      <c r="K202" s="142">
        <v>977671.0</v>
      </c>
      <c r="L202" s="57" t="s">
        <v>77</v>
      </c>
      <c r="M202" s="51" t="s">
        <v>37</v>
      </c>
      <c r="N202" s="31" t="s">
        <v>44</v>
      </c>
      <c r="O202" s="31" t="s">
        <v>412</v>
      </c>
      <c r="P202" s="136" t="s">
        <v>548</v>
      </c>
      <c r="Q202" s="61"/>
      <c r="R202" s="61"/>
      <c r="S202" s="61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</row>
    <row r="203" ht="22.5" customHeight="1">
      <c r="A203" s="138"/>
      <c r="B203" s="139" t="s">
        <v>71</v>
      </c>
      <c r="C203" s="143"/>
      <c r="D203" s="144" t="s">
        <v>391</v>
      </c>
      <c r="E203" s="145">
        <v>46086.0</v>
      </c>
      <c r="F203" s="139" t="s">
        <v>212</v>
      </c>
      <c r="G203" s="139" t="s">
        <v>52</v>
      </c>
      <c r="H203" s="135">
        <f t="shared" si="50"/>
        <v>821572.2689</v>
      </c>
      <c r="I203" s="135">
        <f t="shared" si="51"/>
        <v>156098.7311</v>
      </c>
      <c r="J203" s="141">
        <v>0.0</v>
      </c>
      <c r="K203" s="142">
        <v>977671.0</v>
      </c>
      <c r="L203" s="57" t="s">
        <v>77</v>
      </c>
      <c r="M203" s="51" t="s">
        <v>36</v>
      </c>
      <c r="N203" s="31" t="s">
        <v>44</v>
      </c>
      <c r="O203" s="31" t="s">
        <v>391</v>
      </c>
      <c r="P203" s="136" t="s">
        <v>548</v>
      </c>
      <c r="Q203" s="61"/>
      <c r="R203" s="61"/>
      <c r="S203" s="61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</row>
    <row r="204" ht="22.5" customHeight="1">
      <c r="A204" s="138"/>
      <c r="B204" s="139" t="s">
        <v>71</v>
      </c>
      <c r="C204" s="61"/>
      <c r="D204" s="31" t="s">
        <v>391</v>
      </c>
      <c r="E204" s="140">
        <v>46086.0</v>
      </c>
      <c r="F204" s="139" t="s">
        <v>212</v>
      </c>
      <c r="G204" s="139" t="s">
        <v>52</v>
      </c>
      <c r="H204" s="135">
        <f t="shared" si="50"/>
        <v>29790.7563</v>
      </c>
      <c r="I204" s="135">
        <f t="shared" si="51"/>
        <v>5660.243697</v>
      </c>
      <c r="J204" s="141">
        <v>0.0</v>
      </c>
      <c r="K204" s="142">
        <v>35451.0</v>
      </c>
      <c r="L204" s="57" t="s">
        <v>77</v>
      </c>
      <c r="M204" s="51" t="s">
        <v>36</v>
      </c>
      <c r="N204" s="31" t="s">
        <v>44</v>
      </c>
      <c r="O204" s="31" t="s">
        <v>391</v>
      </c>
      <c r="P204" s="136" t="s">
        <v>548</v>
      </c>
      <c r="Q204" s="61"/>
      <c r="R204" s="61"/>
      <c r="S204" s="61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</row>
    <row r="205" ht="22.5" customHeight="1">
      <c r="A205" s="138"/>
      <c r="B205" s="139" t="s">
        <v>71</v>
      </c>
      <c r="C205" s="143"/>
      <c r="D205" s="144" t="s">
        <v>389</v>
      </c>
      <c r="E205" s="145">
        <v>46086.0</v>
      </c>
      <c r="F205" s="139" t="s">
        <v>212</v>
      </c>
      <c r="G205" s="139" t="s">
        <v>52</v>
      </c>
      <c r="H205" s="135">
        <f t="shared" si="50"/>
        <v>28414.28571</v>
      </c>
      <c r="I205" s="135">
        <f t="shared" si="51"/>
        <v>5398.714286</v>
      </c>
      <c r="J205" s="141">
        <v>0.0</v>
      </c>
      <c r="K205" s="142">
        <v>33813.0</v>
      </c>
      <c r="L205" s="57" t="s">
        <v>77</v>
      </c>
      <c r="M205" s="51" t="s">
        <v>37</v>
      </c>
      <c r="N205" s="31" t="s">
        <v>44</v>
      </c>
      <c r="O205" s="31" t="s">
        <v>389</v>
      </c>
      <c r="P205" s="136" t="s">
        <v>548</v>
      </c>
      <c r="Q205" s="61"/>
      <c r="R205" s="61"/>
      <c r="S205" s="61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</row>
    <row r="206" ht="22.5" customHeight="1">
      <c r="A206" s="138"/>
      <c r="B206" s="139" t="s">
        <v>71</v>
      </c>
      <c r="C206" s="61"/>
      <c r="D206" s="31" t="s">
        <v>390</v>
      </c>
      <c r="E206" s="140">
        <v>46086.0</v>
      </c>
      <c r="F206" s="139" t="s">
        <v>212</v>
      </c>
      <c r="G206" s="139" t="s">
        <v>52</v>
      </c>
      <c r="H206" s="135">
        <f t="shared" si="50"/>
        <v>688.2352941</v>
      </c>
      <c r="I206" s="135">
        <f t="shared" si="51"/>
        <v>130.7647059</v>
      </c>
      <c r="J206" s="141">
        <v>0.0</v>
      </c>
      <c r="K206" s="142">
        <v>819.0</v>
      </c>
      <c r="L206" s="57" t="s">
        <v>77</v>
      </c>
      <c r="M206" s="51" t="s">
        <v>37</v>
      </c>
      <c r="N206" s="31" t="s">
        <v>44</v>
      </c>
      <c r="O206" s="31" t="s">
        <v>390</v>
      </c>
      <c r="P206" s="136" t="s">
        <v>548</v>
      </c>
      <c r="Q206" s="61"/>
      <c r="R206" s="61"/>
      <c r="S206" s="61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</row>
    <row r="207" ht="22.5" customHeight="1">
      <c r="A207" s="138"/>
      <c r="B207" s="139" t="s">
        <v>71</v>
      </c>
      <c r="C207" s="143"/>
      <c r="D207" s="144" t="s">
        <v>411</v>
      </c>
      <c r="E207" s="145">
        <v>46086.0</v>
      </c>
      <c r="F207" s="139" t="s">
        <v>212</v>
      </c>
      <c r="G207" s="139" t="s">
        <v>52</v>
      </c>
      <c r="H207" s="135">
        <f t="shared" si="50"/>
        <v>688.2352941</v>
      </c>
      <c r="I207" s="135">
        <f t="shared" si="51"/>
        <v>130.7647059</v>
      </c>
      <c r="J207" s="141">
        <v>0.0</v>
      </c>
      <c r="K207" s="142">
        <v>819.0</v>
      </c>
      <c r="L207" s="57" t="s">
        <v>77</v>
      </c>
      <c r="M207" s="51" t="s">
        <v>37</v>
      </c>
      <c r="N207" s="31" t="s">
        <v>44</v>
      </c>
      <c r="O207" s="31" t="s">
        <v>411</v>
      </c>
      <c r="P207" s="136" t="s">
        <v>548</v>
      </c>
      <c r="Q207" s="61"/>
      <c r="R207" s="61"/>
      <c r="S207" s="61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</row>
    <row r="208" ht="22.5" customHeight="1">
      <c r="A208" s="138"/>
      <c r="B208" s="139" t="s">
        <v>71</v>
      </c>
      <c r="C208" s="61"/>
      <c r="D208" s="31" t="s">
        <v>366</v>
      </c>
      <c r="E208" s="140">
        <v>46086.0</v>
      </c>
      <c r="F208" s="139" t="s">
        <v>212</v>
      </c>
      <c r="G208" s="139" t="s">
        <v>52</v>
      </c>
      <c r="H208" s="135">
        <f t="shared" si="50"/>
        <v>1685572.269</v>
      </c>
      <c r="I208" s="135">
        <f t="shared" si="51"/>
        <v>320258.7311</v>
      </c>
      <c r="J208" s="141">
        <v>0.0</v>
      </c>
      <c r="K208" s="142">
        <v>2005831.0</v>
      </c>
      <c r="L208" s="57" t="s">
        <v>77</v>
      </c>
      <c r="M208" s="51" t="s">
        <v>37</v>
      </c>
      <c r="N208" s="31" t="s">
        <v>44</v>
      </c>
      <c r="O208" s="31" t="s">
        <v>366</v>
      </c>
      <c r="P208" s="136" t="s">
        <v>548</v>
      </c>
      <c r="Q208" s="61"/>
      <c r="R208" s="61"/>
      <c r="S208" s="61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</row>
    <row r="209" ht="22.5" customHeight="1">
      <c r="A209" s="138"/>
      <c r="B209" s="139" t="s">
        <v>71</v>
      </c>
      <c r="C209" s="146" t="s">
        <v>549</v>
      </c>
      <c r="D209" s="146" t="s">
        <v>550</v>
      </c>
      <c r="E209" s="147">
        <v>46086.0</v>
      </c>
      <c r="F209" s="139" t="s">
        <v>212</v>
      </c>
      <c r="G209" s="139" t="s">
        <v>187</v>
      </c>
      <c r="H209" s="148">
        <f t="shared" si="50"/>
        <v>28816.76471</v>
      </c>
      <c r="I209" s="148">
        <f t="shared" si="51"/>
        <v>5475.185294</v>
      </c>
      <c r="J209" s="149">
        <v>0.0</v>
      </c>
      <c r="K209" s="150">
        <v>34291.95</v>
      </c>
      <c r="L209" s="151" t="s">
        <v>77</v>
      </c>
      <c r="M209" s="152" t="s">
        <v>37</v>
      </c>
      <c r="N209" s="146" t="s">
        <v>44</v>
      </c>
      <c r="O209" s="146" t="s">
        <v>550</v>
      </c>
      <c r="P209" s="153" t="s">
        <v>503</v>
      </c>
      <c r="Q209" s="61"/>
      <c r="R209" s="61"/>
      <c r="S209" s="61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</row>
    <row r="210" ht="22.5" customHeight="1">
      <c r="A210" s="138" t="s">
        <v>148</v>
      </c>
      <c r="B210" s="154" t="s">
        <v>48</v>
      </c>
      <c r="C210" s="61" t="s">
        <v>47</v>
      </c>
      <c r="D210" s="61" t="s">
        <v>551</v>
      </c>
      <c r="E210" s="155">
        <v>46084.0</v>
      </c>
      <c r="F210" s="156" t="s">
        <v>51</v>
      </c>
      <c r="G210" s="154" t="s">
        <v>52</v>
      </c>
      <c r="H210" s="135">
        <f t="shared" si="50"/>
        <v>56250.42017</v>
      </c>
      <c r="I210" s="135">
        <f t="shared" si="51"/>
        <v>10687.57983</v>
      </c>
      <c r="J210" s="141">
        <v>0.0</v>
      </c>
      <c r="K210" s="135">
        <v>66938.0</v>
      </c>
      <c r="L210" s="57" t="s">
        <v>77</v>
      </c>
      <c r="M210" s="115" t="s">
        <v>37</v>
      </c>
      <c r="N210" s="61" t="s">
        <v>46</v>
      </c>
      <c r="O210" s="61" t="s">
        <v>540</v>
      </c>
      <c r="P210" s="61"/>
      <c r="Q210" s="61"/>
      <c r="R210" s="61"/>
      <c r="S210" s="61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</row>
    <row r="211" ht="22.5" customHeight="1">
      <c r="A211" s="157" t="s">
        <v>148</v>
      </c>
      <c r="B211" s="124" t="s">
        <v>48</v>
      </c>
      <c r="C211" s="158" t="s">
        <v>47</v>
      </c>
      <c r="D211" s="158" t="s">
        <v>551</v>
      </c>
      <c r="E211" s="159">
        <v>46084.0</v>
      </c>
      <c r="F211" s="160" t="s">
        <v>51</v>
      </c>
      <c r="G211" s="158" t="s">
        <v>187</v>
      </c>
      <c r="H211" s="114">
        <v>165313.0</v>
      </c>
      <c r="I211" s="114">
        <v>38777.0</v>
      </c>
      <c r="J211" s="99">
        <v>0.0</v>
      </c>
      <c r="K211" s="114">
        <v>204091.0</v>
      </c>
      <c r="L211" s="57" t="s">
        <v>77</v>
      </c>
      <c r="M211" s="115" t="s">
        <v>37</v>
      </c>
      <c r="N211" s="61" t="s">
        <v>46</v>
      </c>
      <c r="O211" s="61" t="s">
        <v>552</v>
      </c>
      <c r="P211" s="161" t="s">
        <v>553</v>
      </c>
      <c r="Q211" s="61"/>
      <c r="R211" s="61"/>
      <c r="S211" s="61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</row>
    <row r="212" ht="22.5" customHeight="1">
      <c r="A212" s="157" t="s">
        <v>148</v>
      </c>
      <c r="B212" s="124" t="s">
        <v>48</v>
      </c>
      <c r="C212" s="158" t="s">
        <v>47</v>
      </c>
      <c r="D212" s="158" t="s">
        <v>554</v>
      </c>
      <c r="E212" s="159">
        <v>46084.0</v>
      </c>
      <c r="F212" s="160" t="s">
        <v>51</v>
      </c>
      <c r="G212" s="158" t="s">
        <v>187</v>
      </c>
      <c r="H212" s="48">
        <f>K212/1.19</f>
        <v>109243.6975</v>
      </c>
      <c r="I212" s="48">
        <f>H212*19%</f>
        <v>20756.30252</v>
      </c>
      <c r="J212" s="42">
        <v>0.0</v>
      </c>
      <c r="K212" s="48">
        <v>130000.0</v>
      </c>
      <c r="L212" s="57" t="s">
        <v>77</v>
      </c>
      <c r="M212" s="115" t="s">
        <v>37</v>
      </c>
      <c r="N212" s="61" t="s">
        <v>46</v>
      </c>
      <c r="O212" s="61" t="s">
        <v>555</v>
      </c>
      <c r="P212" s="161" t="s">
        <v>556</v>
      </c>
      <c r="Q212" s="61"/>
      <c r="R212" s="61"/>
      <c r="S212" s="61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</row>
    <row r="213" ht="22.5" customHeight="1">
      <c r="A213" s="138" t="s">
        <v>148</v>
      </c>
      <c r="B213" s="154" t="s">
        <v>48</v>
      </c>
      <c r="C213" s="124" t="s">
        <v>47</v>
      </c>
      <c r="D213" s="143" t="s">
        <v>551</v>
      </c>
      <c r="E213" s="162">
        <v>46084.0</v>
      </c>
      <c r="F213" s="156" t="s">
        <v>51</v>
      </c>
      <c r="G213" s="154" t="s">
        <v>52</v>
      </c>
      <c r="H213" s="114">
        <v>700000.0</v>
      </c>
      <c r="I213" s="99">
        <v>0.0</v>
      </c>
      <c r="J213" s="99">
        <v>0.0</v>
      </c>
      <c r="K213" s="114">
        <f>Registro!$J288+Registro!$H288</f>
        <v>39300</v>
      </c>
      <c r="L213" s="57" t="s">
        <v>77</v>
      </c>
      <c r="M213" s="115" t="s">
        <v>37</v>
      </c>
      <c r="N213" s="61" t="s">
        <v>46</v>
      </c>
      <c r="O213" s="61" t="s">
        <v>557</v>
      </c>
      <c r="P213" s="61"/>
      <c r="Q213" s="61"/>
      <c r="R213" s="61"/>
      <c r="S213" s="61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</row>
    <row r="214" ht="22.5" customHeight="1">
      <c r="A214" s="123"/>
      <c r="B214" s="127" t="s">
        <v>71</v>
      </c>
      <c r="C214" s="63"/>
      <c r="D214" s="128" t="s">
        <v>558</v>
      </c>
      <c r="E214" s="129">
        <v>46084.0</v>
      </c>
      <c r="F214" s="127" t="s">
        <v>212</v>
      </c>
      <c r="G214" s="130" t="s">
        <v>52</v>
      </c>
      <c r="H214" s="88">
        <f t="shared" ref="H214:H215" si="52">K214/1.19</f>
        <v>1.680672269</v>
      </c>
      <c r="I214" s="48">
        <f t="shared" ref="I214:I215" si="53">H214*19%</f>
        <v>0.3193277311</v>
      </c>
      <c r="J214" s="39"/>
      <c r="K214" s="102">
        <v>2.0</v>
      </c>
      <c r="L214" s="57" t="s">
        <v>77</v>
      </c>
      <c r="M214" s="51" t="s">
        <v>37</v>
      </c>
      <c r="N214" s="49" t="s">
        <v>46</v>
      </c>
      <c r="O214" s="49" t="s">
        <v>558</v>
      </c>
      <c r="P214" s="136" t="s">
        <v>548</v>
      </c>
      <c r="Q214" s="57"/>
      <c r="R214" s="57"/>
      <c r="S214" s="57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</row>
    <row r="215" ht="22.5" customHeight="1">
      <c r="A215" s="123"/>
      <c r="B215" s="127" t="s">
        <v>71</v>
      </c>
      <c r="C215" s="63"/>
      <c r="D215" s="128" t="s">
        <v>559</v>
      </c>
      <c r="E215" s="129">
        <v>46084.0</v>
      </c>
      <c r="F215" s="127" t="s">
        <v>212</v>
      </c>
      <c r="G215" s="130" t="s">
        <v>52</v>
      </c>
      <c r="H215" s="88">
        <f t="shared" si="52"/>
        <v>1685573.95</v>
      </c>
      <c r="I215" s="48">
        <f t="shared" si="53"/>
        <v>320259.0504</v>
      </c>
      <c r="J215" s="39">
        <v>0.0</v>
      </c>
      <c r="K215" s="102">
        <v>2005833.0</v>
      </c>
      <c r="L215" s="57" t="s">
        <v>77</v>
      </c>
      <c r="M215" s="51" t="s">
        <v>36</v>
      </c>
      <c r="N215" s="49" t="s">
        <v>44</v>
      </c>
      <c r="O215" s="49" t="s">
        <v>559</v>
      </c>
      <c r="P215" s="136" t="s">
        <v>548</v>
      </c>
      <c r="Q215" s="57"/>
      <c r="R215" s="57"/>
      <c r="S215" s="57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</row>
    <row r="216" ht="22.5" customHeight="1">
      <c r="A216" s="123" t="s">
        <v>40</v>
      </c>
      <c r="B216" s="124" t="s">
        <v>48</v>
      </c>
      <c r="C216" s="63"/>
      <c r="D216" s="131" t="s">
        <v>495</v>
      </c>
      <c r="E216" s="132">
        <v>46083.0</v>
      </c>
      <c r="F216" s="124" t="s">
        <v>51</v>
      </c>
      <c r="G216" s="125" t="s">
        <v>52</v>
      </c>
      <c r="H216" s="88">
        <v>339000.0</v>
      </c>
      <c r="I216" s="42">
        <v>0.0</v>
      </c>
      <c r="J216" s="88">
        <v>61000.0</v>
      </c>
      <c r="K216" s="48">
        <v>400000.0</v>
      </c>
      <c r="L216" s="57" t="s">
        <v>77</v>
      </c>
      <c r="M216" s="115" t="s">
        <v>37</v>
      </c>
      <c r="N216" s="57" t="s">
        <v>46</v>
      </c>
      <c r="O216" s="49" t="s">
        <v>522</v>
      </c>
      <c r="P216" s="57" t="s">
        <v>560</v>
      </c>
      <c r="Q216" s="57"/>
      <c r="R216" s="57"/>
      <c r="S216" s="57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</row>
    <row r="217" ht="22.5" customHeight="1">
      <c r="A217" s="123"/>
      <c r="B217" s="127" t="s">
        <v>71</v>
      </c>
      <c r="C217" s="63"/>
      <c r="D217" s="128" t="s">
        <v>410</v>
      </c>
      <c r="E217" s="129">
        <v>46083.0</v>
      </c>
      <c r="F217" s="127" t="s">
        <v>212</v>
      </c>
      <c r="G217" s="130" t="s">
        <v>52</v>
      </c>
      <c r="H217" s="88">
        <f t="shared" ref="H217:H227" si="54">K217/1.19</f>
        <v>1.680672269</v>
      </c>
      <c r="I217" s="48">
        <f t="shared" ref="I217:I227" si="55">H217*19%</f>
        <v>0.3193277311</v>
      </c>
      <c r="J217" s="39">
        <v>0.0</v>
      </c>
      <c r="K217" s="102">
        <v>2.0</v>
      </c>
      <c r="L217" s="57" t="s">
        <v>77</v>
      </c>
      <c r="M217" s="51" t="s">
        <v>36</v>
      </c>
      <c r="N217" s="49" t="s">
        <v>46</v>
      </c>
      <c r="O217" s="39" t="s">
        <v>410</v>
      </c>
      <c r="P217" s="136" t="s">
        <v>548</v>
      </c>
      <c r="Q217" s="39"/>
      <c r="R217" s="163"/>
      <c r="S217" s="57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</row>
    <row r="218" ht="22.5" customHeight="1">
      <c r="A218" s="123"/>
      <c r="B218" s="127" t="s">
        <v>71</v>
      </c>
      <c r="C218" s="63"/>
      <c r="D218" s="128" t="s">
        <v>392</v>
      </c>
      <c r="E218" s="129">
        <v>46083.0</v>
      </c>
      <c r="F218" s="127" t="s">
        <v>212</v>
      </c>
      <c r="G218" s="130" t="s">
        <v>52</v>
      </c>
      <c r="H218" s="88">
        <f t="shared" si="54"/>
        <v>1.680672269</v>
      </c>
      <c r="I218" s="48">
        <f t="shared" si="55"/>
        <v>0.3193277311</v>
      </c>
      <c r="J218" s="39">
        <v>0.0</v>
      </c>
      <c r="K218" s="102">
        <v>2.0</v>
      </c>
      <c r="L218" s="57" t="s">
        <v>77</v>
      </c>
      <c r="M218" s="51" t="s">
        <v>37</v>
      </c>
      <c r="N218" s="49" t="s">
        <v>44</v>
      </c>
      <c r="O218" s="39" t="s">
        <v>392</v>
      </c>
      <c r="P218" s="136" t="s">
        <v>561</v>
      </c>
      <c r="Q218" s="39"/>
      <c r="R218" s="163"/>
      <c r="S218" s="57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</row>
    <row r="219" ht="39.0" customHeight="1">
      <c r="A219" s="123" t="s">
        <v>148</v>
      </c>
      <c r="B219" s="124" t="s">
        <v>48</v>
      </c>
      <c r="C219" s="63"/>
      <c r="D219" s="131" t="s">
        <v>562</v>
      </c>
      <c r="E219" s="137">
        <v>46080.0</v>
      </c>
      <c r="F219" s="124" t="s">
        <v>51</v>
      </c>
      <c r="G219" s="125" t="s">
        <v>52</v>
      </c>
      <c r="H219" s="88">
        <f t="shared" si="54"/>
        <v>176991.5966</v>
      </c>
      <c r="I219" s="48">
        <f t="shared" si="55"/>
        <v>33628.40336</v>
      </c>
      <c r="J219" s="39">
        <v>0.0</v>
      </c>
      <c r="K219" s="163">
        <v>210620.0</v>
      </c>
      <c r="L219" s="57" t="s">
        <v>77</v>
      </c>
      <c r="M219" s="115" t="s">
        <v>36</v>
      </c>
      <c r="N219" s="57" t="s">
        <v>46</v>
      </c>
      <c r="O219" s="57" t="s">
        <v>563</v>
      </c>
      <c r="P219" s="57"/>
      <c r="Q219" s="57"/>
      <c r="R219" s="57"/>
      <c r="S219" s="57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</row>
    <row r="220" ht="22.5" customHeight="1">
      <c r="A220" s="164"/>
      <c r="B220" s="127" t="s">
        <v>71</v>
      </c>
      <c r="C220" s="32" t="s">
        <v>564</v>
      </c>
      <c r="D220" s="128" t="s">
        <v>222</v>
      </c>
      <c r="E220" s="129">
        <v>46076.0</v>
      </c>
      <c r="F220" s="165" t="s">
        <v>212</v>
      </c>
      <c r="G220" s="165" t="s">
        <v>187</v>
      </c>
      <c r="H220" s="48">
        <f t="shared" si="54"/>
        <v>15580.84034</v>
      </c>
      <c r="I220" s="48">
        <f t="shared" si="55"/>
        <v>2960.359664</v>
      </c>
      <c r="J220" s="42">
        <v>0.0</v>
      </c>
      <c r="K220" s="102">
        <v>18541.2</v>
      </c>
      <c r="L220" s="49" t="s">
        <v>77</v>
      </c>
      <c r="M220" s="51" t="s">
        <v>37</v>
      </c>
      <c r="N220" s="49" t="s">
        <v>46</v>
      </c>
      <c r="O220" s="128" t="s">
        <v>222</v>
      </c>
      <c r="P220" s="56" t="s">
        <v>565</v>
      </c>
      <c r="Q220" s="57"/>
      <c r="R220" s="57"/>
      <c r="S220" s="57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</row>
    <row r="221" ht="22.5" customHeight="1">
      <c r="A221" s="164"/>
      <c r="B221" s="127" t="s">
        <v>71</v>
      </c>
      <c r="C221" s="63"/>
      <c r="D221" s="128" t="s">
        <v>566</v>
      </c>
      <c r="E221" s="129">
        <v>46076.0</v>
      </c>
      <c r="F221" s="165" t="s">
        <v>51</v>
      </c>
      <c r="G221" s="165" t="s">
        <v>52</v>
      </c>
      <c r="H221" s="48">
        <f t="shared" si="54"/>
        <v>5042.016807</v>
      </c>
      <c r="I221" s="48">
        <f t="shared" si="55"/>
        <v>957.9831933</v>
      </c>
      <c r="J221" s="42">
        <v>0.0</v>
      </c>
      <c r="K221" s="166">
        <v>6000.0</v>
      </c>
      <c r="L221" s="57" t="s">
        <v>77</v>
      </c>
      <c r="M221" s="51" t="s">
        <v>37</v>
      </c>
      <c r="N221" s="49" t="s">
        <v>44</v>
      </c>
      <c r="O221" s="57"/>
      <c r="P221" s="167"/>
      <c r="Q221" s="57"/>
      <c r="R221" s="57"/>
      <c r="S221" s="57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</row>
    <row r="222" ht="22.5" customHeight="1">
      <c r="A222" s="123" t="s">
        <v>148</v>
      </c>
      <c r="B222" s="124" t="s">
        <v>48</v>
      </c>
      <c r="C222" s="63">
        <v>9.0079082E7</v>
      </c>
      <c r="D222" s="131" t="s">
        <v>567</v>
      </c>
      <c r="E222" s="132">
        <v>46076.0</v>
      </c>
      <c r="F222" s="160" t="s">
        <v>51</v>
      </c>
      <c r="G222" s="158" t="s">
        <v>52</v>
      </c>
      <c r="H222" s="48">
        <f t="shared" si="54"/>
        <v>1792.436975</v>
      </c>
      <c r="I222" s="48">
        <f t="shared" si="55"/>
        <v>340.5630252</v>
      </c>
      <c r="J222" s="42">
        <v>0.0</v>
      </c>
      <c r="K222" s="168">
        <v>2133.0</v>
      </c>
      <c r="L222" s="115" t="s">
        <v>77</v>
      </c>
      <c r="M222" s="115" t="s">
        <v>37</v>
      </c>
      <c r="N222" s="57" t="s">
        <v>44</v>
      </c>
      <c r="O222" s="57" t="s">
        <v>568</v>
      </c>
      <c r="P222" s="133" t="s">
        <v>569</v>
      </c>
      <c r="Q222" s="57"/>
      <c r="R222" s="57"/>
      <c r="S222" s="57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</row>
    <row r="223" ht="27.75" customHeight="1">
      <c r="A223" s="121"/>
      <c r="B223" s="31" t="s">
        <v>71</v>
      </c>
      <c r="C223" s="32" t="s">
        <v>570</v>
      </c>
      <c r="D223" s="165" t="s">
        <v>222</v>
      </c>
      <c r="E223" s="129">
        <v>46074.0</v>
      </c>
      <c r="F223" s="139" t="s">
        <v>212</v>
      </c>
      <c r="G223" s="139" t="s">
        <v>187</v>
      </c>
      <c r="H223" s="48">
        <f t="shared" si="54"/>
        <v>15580.84034</v>
      </c>
      <c r="I223" s="48">
        <f t="shared" si="55"/>
        <v>2960.359664</v>
      </c>
      <c r="J223" s="42">
        <v>0.0</v>
      </c>
      <c r="K223" s="102">
        <v>18541.2</v>
      </c>
      <c r="L223" s="51" t="s">
        <v>77</v>
      </c>
      <c r="M223" s="51" t="s">
        <v>37</v>
      </c>
      <c r="N223" s="49" t="s">
        <v>44</v>
      </c>
      <c r="O223" s="49" t="s">
        <v>222</v>
      </c>
      <c r="P223" s="56" t="s">
        <v>571</v>
      </c>
      <c r="Q223" s="56" t="s">
        <v>572</v>
      </c>
      <c r="R223" s="57"/>
      <c r="S223" s="57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</row>
    <row r="224" ht="27.75" customHeight="1">
      <c r="A224" s="121"/>
      <c r="B224" s="31" t="s">
        <v>71</v>
      </c>
      <c r="C224" s="63"/>
      <c r="D224" s="128" t="s">
        <v>573</v>
      </c>
      <c r="E224" s="129">
        <v>46072.0</v>
      </c>
      <c r="F224" s="139" t="s">
        <v>51</v>
      </c>
      <c r="G224" s="139" t="s">
        <v>52</v>
      </c>
      <c r="H224" s="88">
        <f t="shared" si="54"/>
        <v>525000</v>
      </c>
      <c r="I224" s="48">
        <f t="shared" si="55"/>
        <v>99750</v>
      </c>
      <c r="J224" s="39">
        <v>0.0</v>
      </c>
      <c r="K224" s="166">
        <v>624750.0</v>
      </c>
      <c r="L224" s="51" t="s">
        <v>77</v>
      </c>
      <c r="M224" s="51" t="s">
        <v>37</v>
      </c>
      <c r="N224" s="49" t="s">
        <v>46</v>
      </c>
      <c r="O224" s="49"/>
      <c r="P224" s="57"/>
      <c r="Q224" s="57"/>
      <c r="R224" s="57"/>
      <c r="S224" s="57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</row>
    <row r="225" ht="24.0" customHeight="1">
      <c r="A225" s="169"/>
      <c r="B225" s="139" t="s">
        <v>71</v>
      </c>
      <c r="C225" s="32" t="s">
        <v>574</v>
      </c>
      <c r="D225" s="128" t="s">
        <v>225</v>
      </c>
      <c r="E225" s="129">
        <v>46072.0</v>
      </c>
      <c r="F225" s="139" t="s">
        <v>212</v>
      </c>
      <c r="G225" s="139" t="s">
        <v>187</v>
      </c>
      <c r="H225" s="88">
        <f t="shared" si="54"/>
        <v>3339.495798</v>
      </c>
      <c r="I225" s="48">
        <f t="shared" si="55"/>
        <v>634.5042017</v>
      </c>
      <c r="J225" s="39">
        <v>0.0</v>
      </c>
      <c r="K225" s="166">
        <v>3974.0</v>
      </c>
      <c r="L225" s="51" t="s">
        <v>77</v>
      </c>
      <c r="M225" s="51" t="s">
        <v>37</v>
      </c>
      <c r="N225" s="49" t="s">
        <v>46</v>
      </c>
      <c r="O225" s="49" t="s">
        <v>225</v>
      </c>
      <c r="P225" s="136" t="s">
        <v>575</v>
      </c>
      <c r="Q225" s="136" t="s">
        <v>576</v>
      </c>
      <c r="R225" s="57"/>
      <c r="S225" s="57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</row>
    <row r="226" ht="24.0" customHeight="1">
      <c r="A226" s="169" t="s">
        <v>148</v>
      </c>
      <c r="B226" s="154" t="s">
        <v>48</v>
      </c>
      <c r="C226" s="63" t="s">
        <v>577</v>
      </c>
      <c r="D226" s="131" t="s">
        <v>507</v>
      </c>
      <c r="E226" s="132">
        <v>46071.0</v>
      </c>
      <c r="F226" s="156" t="s">
        <v>51</v>
      </c>
      <c r="G226" s="154" t="s">
        <v>52</v>
      </c>
      <c r="H226" s="88">
        <f t="shared" si="54"/>
        <v>4621.848739</v>
      </c>
      <c r="I226" s="48">
        <f t="shared" si="55"/>
        <v>878.1512605</v>
      </c>
      <c r="J226" s="39">
        <v>0.0</v>
      </c>
      <c r="K226" s="168">
        <v>5500.0</v>
      </c>
      <c r="L226" s="115" t="s">
        <v>77</v>
      </c>
      <c r="M226" s="115" t="s">
        <v>37</v>
      </c>
      <c r="N226" s="57" t="s">
        <v>46</v>
      </c>
      <c r="O226" s="57" t="s">
        <v>578</v>
      </c>
      <c r="P226" s="57"/>
      <c r="Q226" s="57"/>
      <c r="R226" s="57"/>
      <c r="S226" s="57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</row>
    <row r="227" ht="22.5" customHeight="1">
      <c r="A227" s="138" t="s">
        <v>69</v>
      </c>
      <c r="B227" s="154" t="s">
        <v>48</v>
      </c>
      <c r="C227" s="61"/>
      <c r="D227" s="170" t="s">
        <v>579</v>
      </c>
      <c r="E227" s="155">
        <v>46069.0</v>
      </c>
      <c r="F227" s="156" t="s">
        <v>51</v>
      </c>
      <c r="G227" s="154" t="s">
        <v>52</v>
      </c>
      <c r="H227" s="88">
        <f t="shared" si="54"/>
        <v>23825.21008</v>
      </c>
      <c r="I227" s="48">
        <f t="shared" si="55"/>
        <v>4526.789916</v>
      </c>
      <c r="J227" s="39">
        <v>0.0</v>
      </c>
      <c r="K227" s="168">
        <v>28352.0</v>
      </c>
      <c r="L227" s="115" t="s">
        <v>77</v>
      </c>
      <c r="M227" s="115" t="s">
        <v>37</v>
      </c>
      <c r="N227" s="61" t="s">
        <v>46</v>
      </c>
      <c r="O227" s="61" t="s">
        <v>580</v>
      </c>
      <c r="P227" s="61"/>
      <c r="Q227" s="61"/>
      <c r="R227" s="61"/>
      <c r="S227" s="61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</row>
    <row r="228" ht="22.5" customHeight="1">
      <c r="A228" s="171" t="s">
        <v>40</v>
      </c>
      <c r="B228" s="127" t="s">
        <v>71</v>
      </c>
      <c r="C228" s="31">
        <v>12.0</v>
      </c>
      <c r="D228" s="128" t="s">
        <v>455</v>
      </c>
      <c r="E228" s="129">
        <v>46066.0</v>
      </c>
      <c r="F228" s="165" t="s">
        <v>51</v>
      </c>
      <c r="G228" s="165" t="s">
        <v>52</v>
      </c>
      <c r="H228" s="172">
        <v>500000.0</v>
      </c>
      <c r="I228" s="42">
        <v>0.0</v>
      </c>
      <c r="J228" s="39">
        <v>89981.0</v>
      </c>
      <c r="K228" s="102">
        <f>SUM(H228:J228)</f>
        <v>589981</v>
      </c>
      <c r="L228" s="173" t="s">
        <v>137</v>
      </c>
      <c r="M228" s="51" t="s">
        <v>38</v>
      </c>
      <c r="N228" s="31" t="s">
        <v>44</v>
      </c>
      <c r="O228" s="31" t="s">
        <v>581</v>
      </c>
      <c r="P228" s="174"/>
      <c r="Q228" s="61"/>
      <c r="R228" s="61"/>
      <c r="S228" s="61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</row>
    <row r="229" ht="22.5" customHeight="1">
      <c r="A229" s="157" t="s">
        <v>69</v>
      </c>
      <c r="B229" s="124" t="s">
        <v>48</v>
      </c>
      <c r="C229" s="61" t="s">
        <v>582</v>
      </c>
      <c r="D229" s="131" t="s">
        <v>471</v>
      </c>
      <c r="E229" s="132">
        <v>46065.0</v>
      </c>
      <c r="F229" s="160" t="s">
        <v>51</v>
      </c>
      <c r="G229" s="158" t="s">
        <v>52</v>
      </c>
      <c r="H229" s="88">
        <f>K229/1.19</f>
        <v>4005.042017</v>
      </c>
      <c r="I229" s="48">
        <f>H229*19%</f>
        <v>760.9579832</v>
      </c>
      <c r="J229" s="39">
        <v>0.0</v>
      </c>
      <c r="K229" s="163">
        <v>4766.0</v>
      </c>
      <c r="L229" s="115" t="s">
        <v>77</v>
      </c>
      <c r="M229" s="115" t="s">
        <v>37</v>
      </c>
      <c r="N229" s="61" t="s">
        <v>46</v>
      </c>
      <c r="O229" s="61" t="s">
        <v>583</v>
      </c>
      <c r="P229" s="161" t="s">
        <v>584</v>
      </c>
      <c r="Q229" s="61"/>
      <c r="R229" s="61"/>
      <c r="S229" s="61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</row>
    <row r="230" ht="22.5" customHeight="1">
      <c r="A230" s="157" t="s">
        <v>177</v>
      </c>
      <c r="B230" s="124" t="s">
        <v>48</v>
      </c>
      <c r="C230" s="158" t="s">
        <v>585</v>
      </c>
      <c r="D230" s="131" t="s">
        <v>471</v>
      </c>
      <c r="E230" s="132">
        <v>46065.0</v>
      </c>
      <c r="F230" s="160" t="s">
        <v>51</v>
      </c>
      <c r="G230" s="158" t="s">
        <v>52</v>
      </c>
      <c r="H230" s="48">
        <v>27355.0</v>
      </c>
      <c r="I230" s="48">
        <v>6417.0</v>
      </c>
      <c r="J230" s="42">
        <v>0.0</v>
      </c>
      <c r="K230" s="163">
        <v>33772.0</v>
      </c>
      <c r="L230" s="115" t="s">
        <v>77</v>
      </c>
      <c r="M230" s="115" t="s">
        <v>37</v>
      </c>
      <c r="N230" s="61" t="s">
        <v>46</v>
      </c>
      <c r="O230" s="61"/>
      <c r="P230" s="175" t="s">
        <v>586</v>
      </c>
      <c r="Q230" s="61"/>
      <c r="R230" s="61"/>
      <c r="S230" s="61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</row>
    <row r="231" ht="22.5" customHeight="1">
      <c r="A231" s="157" t="s">
        <v>69</v>
      </c>
      <c r="B231" s="124" t="s">
        <v>48</v>
      </c>
      <c r="C231" s="61" t="s">
        <v>587</v>
      </c>
      <c r="D231" s="131" t="s">
        <v>471</v>
      </c>
      <c r="E231" s="132">
        <v>46065.0</v>
      </c>
      <c r="F231" s="160" t="s">
        <v>51</v>
      </c>
      <c r="G231" s="158" t="s">
        <v>52</v>
      </c>
      <c r="H231" s="88">
        <f t="shared" ref="H231:H242" si="56">K231/1.19</f>
        <v>745.3781513</v>
      </c>
      <c r="I231" s="48">
        <f t="shared" ref="I231:I242" si="57">H231*19%</f>
        <v>141.6218487</v>
      </c>
      <c r="J231" s="39">
        <v>0.0</v>
      </c>
      <c r="K231" s="163">
        <v>887.0</v>
      </c>
      <c r="L231" s="115" t="s">
        <v>77</v>
      </c>
      <c r="M231" s="115" t="s">
        <v>37</v>
      </c>
      <c r="N231" s="61" t="s">
        <v>44</v>
      </c>
      <c r="O231" s="61" t="s">
        <v>588</v>
      </c>
      <c r="P231" s="161" t="s">
        <v>589</v>
      </c>
      <c r="Q231" s="61"/>
      <c r="R231" s="61"/>
      <c r="S231" s="61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</row>
    <row r="232" ht="22.5" customHeight="1">
      <c r="A232" s="123" t="s">
        <v>148</v>
      </c>
      <c r="B232" s="124" t="s">
        <v>48</v>
      </c>
      <c r="C232" s="63"/>
      <c r="D232" s="131" t="s">
        <v>590</v>
      </c>
      <c r="E232" s="132">
        <v>46064.0</v>
      </c>
      <c r="F232" s="124" t="s">
        <v>51</v>
      </c>
      <c r="G232" s="125" t="s">
        <v>52</v>
      </c>
      <c r="H232" s="88">
        <f t="shared" si="56"/>
        <v>108932.7731</v>
      </c>
      <c r="I232" s="48">
        <f t="shared" si="57"/>
        <v>20697.22689</v>
      </c>
      <c r="J232" s="39">
        <v>0.0</v>
      </c>
      <c r="K232" s="163">
        <v>129630.0</v>
      </c>
      <c r="L232" s="57" t="s">
        <v>77</v>
      </c>
      <c r="M232" s="115" t="s">
        <v>37</v>
      </c>
      <c r="N232" s="57" t="s">
        <v>46</v>
      </c>
      <c r="O232" s="57"/>
      <c r="P232" s="57"/>
      <c r="Q232" s="57"/>
      <c r="R232" s="57"/>
      <c r="S232" s="57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</row>
    <row r="233" ht="22.5" customHeight="1">
      <c r="A233" s="123" t="s">
        <v>148</v>
      </c>
      <c r="B233" s="124" t="s">
        <v>48</v>
      </c>
      <c r="C233" s="63"/>
      <c r="D233" s="131" t="s">
        <v>464</v>
      </c>
      <c r="E233" s="132">
        <v>46064.0</v>
      </c>
      <c r="F233" s="124" t="s">
        <v>51</v>
      </c>
      <c r="G233" s="125" t="s">
        <v>52</v>
      </c>
      <c r="H233" s="88">
        <f t="shared" si="56"/>
        <v>33366.38655</v>
      </c>
      <c r="I233" s="48">
        <f t="shared" si="57"/>
        <v>6339.613445</v>
      </c>
      <c r="J233" s="39">
        <v>0.0</v>
      </c>
      <c r="K233" s="163">
        <v>39706.0</v>
      </c>
      <c r="L233" s="57" t="s">
        <v>77</v>
      </c>
      <c r="M233" s="115" t="s">
        <v>37</v>
      </c>
      <c r="N233" s="57" t="s">
        <v>46</v>
      </c>
      <c r="O233" s="57"/>
      <c r="P233" s="57"/>
      <c r="Q233" s="57"/>
      <c r="R233" s="57"/>
      <c r="S233" s="57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</row>
    <row r="234" ht="22.5" customHeight="1">
      <c r="A234" s="157" t="s">
        <v>310</v>
      </c>
      <c r="B234" s="124" t="s">
        <v>48</v>
      </c>
      <c r="C234" s="158" t="s">
        <v>591</v>
      </c>
      <c r="D234" s="176" t="s">
        <v>592</v>
      </c>
      <c r="E234" s="132">
        <v>46064.0</v>
      </c>
      <c r="F234" s="160" t="s">
        <v>51</v>
      </c>
      <c r="G234" s="158" t="s">
        <v>52</v>
      </c>
      <c r="H234" s="48">
        <f t="shared" si="56"/>
        <v>613785.7143</v>
      </c>
      <c r="I234" s="48">
        <f t="shared" si="57"/>
        <v>116619.2857</v>
      </c>
      <c r="J234" s="42">
        <v>0.0</v>
      </c>
      <c r="K234" s="172">
        <v>730405.0</v>
      </c>
      <c r="L234" s="115" t="s">
        <v>77</v>
      </c>
      <c r="M234" s="115" t="s">
        <v>37</v>
      </c>
      <c r="N234" s="61" t="s">
        <v>46</v>
      </c>
      <c r="O234" s="61" t="s">
        <v>593</v>
      </c>
      <c r="P234" s="61" t="s">
        <v>594</v>
      </c>
      <c r="Q234" s="161" t="s">
        <v>595</v>
      </c>
      <c r="R234" s="61"/>
      <c r="S234" s="61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</row>
    <row r="235" ht="22.5" customHeight="1">
      <c r="A235" s="177" t="s">
        <v>148</v>
      </c>
      <c r="B235" s="178" t="s">
        <v>48</v>
      </c>
      <c r="C235" s="179"/>
      <c r="D235" s="180" t="s">
        <v>533</v>
      </c>
      <c r="E235" s="181">
        <v>46064.0</v>
      </c>
      <c r="F235" s="182" t="s">
        <v>51</v>
      </c>
      <c r="G235" s="183" t="s">
        <v>52</v>
      </c>
      <c r="H235" s="48">
        <f t="shared" si="56"/>
        <v>2481578.992</v>
      </c>
      <c r="I235" s="48">
        <f t="shared" si="57"/>
        <v>471500.0084</v>
      </c>
      <c r="J235" s="42">
        <v>0.0</v>
      </c>
      <c r="K235" s="184">
        <v>2953079.0</v>
      </c>
      <c r="L235" s="185" t="s">
        <v>77</v>
      </c>
      <c r="M235" s="115" t="s">
        <v>37</v>
      </c>
      <c r="N235" s="185" t="s">
        <v>44</v>
      </c>
      <c r="O235" s="185"/>
      <c r="P235" s="185"/>
      <c r="Q235" s="185"/>
      <c r="R235" s="185"/>
      <c r="S235" s="185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</row>
    <row r="236" ht="22.5" customHeight="1">
      <c r="A236" s="186" t="s">
        <v>148</v>
      </c>
      <c r="B236" s="187" t="s">
        <v>48</v>
      </c>
      <c r="C236" s="188"/>
      <c r="D236" s="189" t="s">
        <v>533</v>
      </c>
      <c r="E236" s="190">
        <v>46064.0</v>
      </c>
      <c r="F236" s="191" t="s">
        <v>51</v>
      </c>
      <c r="G236" s="192" t="s">
        <v>52</v>
      </c>
      <c r="H236" s="88">
        <f t="shared" si="56"/>
        <v>894459.6639</v>
      </c>
      <c r="I236" s="48">
        <f t="shared" si="57"/>
        <v>169947.3361</v>
      </c>
      <c r="J236" s="39">
        <v>0.0</v>
      </c>
      <c r="K236" s="193">
        <v>1064407.0</v>
      </c>
      <c r="L236" s="194" t="s">
        <v>77</v>
      </c>
      <c r="M236" s="115" t="s">
        <v>37</v>
      </c>
      <c r="N236" s="194" t="s">
        <v>44</v>
      </c>
      <c r="O236" s="194"/>
      <c r="P236" s="194"/>
      <c r="Q236" s="194"/>
      <c r="R236" s="194"/>
      <c r="S236" s="194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</row>
    <row r="237" ht="22.5" customHeight="1">
      <c r="A237" s="123" t="s">
        <v>148</v>
      </c>
      <c r="B237" s="124" t="s">
        <v>48</v>
      </c>
      <c r="C237" s="63"/>
      <c r="D237" s="128" t="s">
        <v>596</v>
      </c>
      <c r="E237" s="132">
        <v>46064.0</v>
      </c>
      <c r="F237" s="124" t="s">
        <v>51</v>
      </c>
      <c r="G237" s="125" t="s">
        <v>52</v>
      </c>
      <c r="H237" s="88">
        <f t="shared" si="56"/>
        <v>2481578.992</v>
      </c>
      <c r="I237" s="48">
        <f t="shared" si="57"/>
        <v>471500.0084</v>
      </c>
      <c r="J237" s="39">
        <v>0.0</v>
      </c>
      <c r="K237" s="163">
        <v>2953079.0</v>
      </c>
      <c r="L237" s="57" t="s">
        <v>77</v>
      </c>
      <c r="M237" s="115" t="s">
        <v>36</v>
      </c>
      <c r="N237" s="57" t="s">
        <v>44</v>
      </c>
      <c r="O237" s="57"/>
      <c r="P237" s="57"/>
      <c r="Q237" s="57"/>
      <c r="R237" s="57"/>
      <c r="S237" s="57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</row>
    <row r="238" ht="22.5" customHeight="1">
      <c r="A238" s="123" t="s">
        <v>148</v>
      </c>
      <c r="B238" s="124" t="s">
        <v>48</v>
      </c>
      <c r="C238" s="63"/>
      <c r="D238" s="131" t="s">
        <v>597</v>
      </c>
      <c r="E238" s="132">
        <v>46064.0</v>
      </c>
      <c r="F238" s="124" t="s">
        <v>51</v>
      </c>
      <c r="G238" s="125" t="s">
        <v>52</v>
      </c>
      <c r="H238" s="88">
        <f t="shared" si="56"/>
        <v>894459.6639</v>
      </c>
      <c r="I238" s="48">
        <f t="shared" si="57"/>
        <v>169947.3361</v>
      </c>
      <c r="J238" s="39">
        <v>0.0</v>
      </c>
      <c r="K238" s="163">
        <v>1064407.0</v>
      </c>
      <c r="L238" s="57" t="s">
        <v>77</v>
      </c>
      <c r="M238" s="115" t="s">
        <v>36</v>
      </c>
      <c r="N238" s="57" t="s">
        <v>44</v>
      </c>
      <c r="O238" s="57"/>
      <c r="P238" s="57"/>
      <c r="Q238" s="57"/>
      <c r="R238" s="57"/>
      <c r="S238" s="57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</row>
    <row r="239" ht="22.5" customHeight="1">
      <c r="A239" s="123"/>
      <c r="B239" s="127" t="s">
        <v>71</v>
      </c>
      <c r="C239" s="63"/>
      <c r="D239" s="32" t="s">
        <v>412</v>
      </c>
      <c r="E239" s="34">
        <v>46064.0</v>
      </c>
      <c r="F239" s="127" t="s">
        <v>212</v>
      </c>
      <c r="G239" s="130" t="s">
        <v>52</v>
      </c>
      <c r="H239" s="88">
        <f t="shared" si="56"/>
        <v>3376038.655</v>
      </c>
      <c r="I239" s="48">
        <f t="shared" si="57"/>
        <v>641447.3445</v>
      </c>
      <c r="J239" s="39">
        <v>0.0</v>
      </c>
      <c r="K239" s="102">
        <v>4017486.0</v>
      </c>
      <c r="L239" s="57" t="s">
        <v>77</v>
      </c>
      <c r="M239" s="51" t="s">
        <v>37</v>
      </c>
      <c r="N239" s="49" t="s">
        <v>44</v>
      </c>
      <c r="O239" s="49" t="s">
        <v>412</v>
      </c>
      <c r="P239" s="136" t="s">
        <v>561</v>
      </c>
      <c r="Q239" s="57"/>
      <c r="R239" s="57"/>
      <c r="S239" s="57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</row>
    <row r="240" ht="22.5" customHeight="1">
      <c r="A240" s="123"/>
      <c r="B240" s="127" t="s">
        <v>71</v>
      </c>
      <c r="C240" s="63"/>
      <c r="D240" s="32" t="s">
        <v>391</v>
      </c>
      <c r="E240" s="34">
        <v>46064.0</v>
      </c>
      <c r="F240" s="127" t="s">
        <v>212</v>
      </c>
      <c r="G240" s="130" t="s">
        <v>52</v>
      </c>
      <c r="H240" s="88">
        <f t="shared" si="56"/>
        <v>2481578.992</v>
      </c>
      <c r="I240" s="48">
        <f t="shared" si="57"/>
        <v>471500.0084</v>
      </c>
      <c r="J240" s="39">
        <v>0.0</v>
      </c>
      <c r="K240" s="102">
        <v>2953079.0</v>
      </c>
      <c r="L240" s="57" t="s">
        <v>77</v>
      </c>
      <c r="M240" s="51" t="s">
        <v>36</v>
      </c>
      <c r="N240" s="49" t="s">
        <v>44</v>
      </c>
      <c r="O240" s="49" t="s">
        <v>391</v>
      </c>
      <c r="P240" s="136" t="s">
        <v>561</v>
      </c>
      <c r="Q240" s="57"/>
      <c r="R240" s="57"/>
      <c r="S240" s="57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</row>
    <row r="241" ht="22.5" customHeight="1">
      <c r="A241" s="123"/>
      <c r="B241" s="127" t="s">
        <v>71</v>
      </c>
      <c r="C241" s="63"/>
      <c r="D241" s="32" t="s">
        <v>391</v>
      </c>
      <c r="E241" s="34">
        <v>46064.0</v>
      </c>
      <c r="F241" s="127" t="s">
        <v>212</v>
      </c>
      <c r="G241" s="130" t="s">
        <v>52</v>
      </c>
      <c r="H241" s="88">
        <f t="shared" si="56"/>
        <v>894459.6639</v>
      </c>
      <c r="I241" s="48">
        <f t="shared" si="57"/>
        <v>169947.3361</v>
      </c>
      <c r="J241" s="39">
        <v>0.0</v>
      </c>
      <c r="K241" s="163">
        <v>1064407.0</v>
      </c>
      <c r="L241" s="57" t="s">
        <v>77</v>
      </c>
      <c r="M241" s="51" t="s">
        <v>36</v>
      </c>
      <c r="N241" s="49" t="s">
        <v>44</v>
      </c>
      <c r="O241" s="49" t="s">
        <v>391</v>
      </c>
      <c r="P241" s="136" t="s">
        <v>561</v>
      </c>
      <c r="Q241" s="57"/>
      <c r="R241" s="57"/>
      <c r="S241" s="57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</row>
    <row r="242" ht="22.5" customHeight="1">
      <c r="A242" s="123"/>
      <c r="B242" s="127" t="s">
        <v>71</v>
      </c>
      <c r="C242" s="32" t="s">
        <v>598</v>
      </c>
      <c r="D242" s="32" t="s">
        <v>599</v>
      </c>
      <c r="E242" s="34">
        <v>46063.0</v>
      </c>
      <c r="F242" s="127" t="s">
        <v>212</v>
      </c>
      <c r="G242" s="130" t="s">
        <v>187</v>
      </c>
      <c r="H242" s="88">
        <f t="shared" si="56"/>
        <v>1504.201681</v>
      </c>
      <c r="I242" s="48">
        <f t="shared" si="57"/>
        <v>285.7983193</v>
      </c>
      <c r="J242" s="39">
        <v>0.0</v>
      </c>
      <c r="K242" s="102">
        <v>1790.0</v>
      </c>
      <c r="L242" s="49" t="s">
        <v>77</v>
      </c>
      <c r="M242" s="51" t="s">
        <v>37</v>
      </c>
      <c r="N242" s="49" t="s">
        <v>46</v>
      </c>
      <c r="O242" s="32" t="s">
        <v>599</v>
      </c>
      <c r="P242" s="136" t="s">
        <v>575</v>
      </c>
      <c r="Q242" s="136" t="s">
        <v>576</v>
      </c>
      <c r="R242" s="57"/>
      <c r="S242" s="57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</row>
    <row r="243" ht="22.5" customHeight="1">
      <c r="A243" s="123" t="s">
        <v>177</v>
      </c>
      <c r="B243" s="124" t="s">
        <v>48</v>
      </c>
      <c r="C243" s="63">
        <v>3448905.0</v>
      </c>
      <c r="D243" s="63" t="s">
        <v>600</v>
      </c>
      <c r="E243" s="122">
        <v>46059.0</v>
      </c>
      <c r="F243" s="124" t="s">
        <v>601</v>
      </c>
      <c r="G243" s="125" t="s">
        <v>52</v>
      </c>
      <c r="H243" s="88">
        <v>57143.0</v>
      </c>
      <c r="I243" s="48">
        <v>10857.0</v>
      </c>
      <c r="J243" s="39">
        <v>0.0</v>
      </c>
      <c r="K243" s="48">
        <v>68000.0</v>
      </c>
      <c r="L243" s="57" t="s">
        <v>77</v>
      </c>
      <c r="M243" s="115" t="s">
        <v>37</v>
      </c>
      <c r="N243" s="57" t="s">
        <v>44</v>
      </c>
      <c r="O243" s="57" t="s">
        <v>602</v>
      </c>
      <c r="P243" s="57"/>
      <c r="Q243" s="57"/>
      <c r="R243" s="57"/>
      <c r="S243" s="57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</row>
    <row r="244" ht="22.5" customHeight="1">
      <c r="A244" s="138" t="s">
        <v>310</v>
      </c>
      <c r="B244" s="154" t="s">
        <v>48</v>
      </c>
      <c r="C244" s="143" t="s">
        <v>603</v>
      </c>
      <c r="D244" s="143" t="s">
        <v>604</v>
      </c>
      <c r="E244" s="162">
        <v>46059.0</v>
      </c>
      <c r="F244" s="156" t="s">
        <v>51</v>
      </c>
      <c r="G244" s="154" t="s">
        <v>52</v>
      </c>
      <c r="H244" s="48">
        <f t="shared" ref="H244:H272" si="58">K244/1.19</f>
        <v>1680672.269</v>
      </c>
      <c r="I244" s="48">
        <f t="shared" ref="I244:I272" si="59">H244*19%</f>
        <v>319327.7311</v>
      </c>
      <c r="J244" s="42">
        <v>0.0</v>
      </c>
      <c r="K244" s="163">
        <v>2000000.0</v>
      </c>
      <c r="L244" s="57" t="s">
        <v>77</v>
      </c>
      <c r="M244" s="115" t="s">
        <v>37</v>
      </c>
      <c r="N244" s="61" t="s">
        <v>44</v>
      </c>
      <c r="O244" s="61" t="s">
        <v>605</v>
      </c>
      <c r="P244" s="161" t="s">
        <v>606</v>
      </c>
      <c r="Q244" s="61"/>
      <c r="R244" s="61"/>
      <c r="S244" s="61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</row>
    <row r="245" ht="22.5" customHeight="1">
      <c r="A245" s="138" t="s">
        <v>310</v>
      </c>
      <c r="B245" s="154" t="s">
        <v>48</v>
      </c>
      <c r="C245" s="143" t="s">
        <v>607</v>
      </c>
      <c r="D245" s="143" t="s">
        <v>604</v>
      </c>
      <c r="E245" s="162">
        <v>46059.0</v>
      </c>
      <c r="F245" s="156" t="s">
        <v>51</v>
      </c>
      <c r="G245" s="154" t="s">
        <v>52</v>
      </c>
      <c r="H245" s="48">
        <f t="shared" si="58"/>
        <v>2941176.471</v>
      </c>
      <c r="I245" s="48">
        <f t="shared" si="59"/>
        <v>558823.5294</v>
      </c>
      <c r="J245" s="42">
        <v>0.0</v>
      </c>
      <c r="K245" s="163">
        <v>3500000.0</v>
      </c>
      <c r="L245" s="57" t="s">
        <v>77</v>
      </c>
      <c r="M245" s="115" t="s">
        <v>37</v>
      </c>
      <c r="N245" s="61" t="s">
        <v>44</v>
      </c>
      <c r="O245" s="61" t="s">
        <v>605</v>
      </c>
      <c r="P245" s="161" t="s">
        <v>606</v>
      </c>
      <c r="Q245" s="61"/>
      <c r="R245" s="61"/>
      <c r="S245" s="61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</row>
    <row r="246" ht="21.0" customHeight="1">
      <c r="A246" s="138"/>
      <c r="B246" s="139" t="s">
        <v>71</v>
      </c>
      <c r="C246" s="143"/>
      <c r="D246" s="144" t="s">
        <v>412</v>
      </c>
      <c r="E246" s="195">
        <v>46059.0</v>
      </c>
      <c r="F246" s="139" t="s">
        <v>212</v>
      </c>
      <c r="G246" s="139" t="s">
        <v>52</v>
      </c>
      <c r="H246" s="48">
        <f t="shared" si="58"/>
        <v>1680672.269</v>
      </c>
      <c r="I246" s="48">
        <f t="shared" si="59"/>
        <v>319327.7311</v>
      </c>
      <c r="J246" s="42">
        <v>0.0</v>
      </c>
      <c r="K246" s="102">
        <v>2000000.0</v>
      </c>
      <c r="L246" s="57" t="s">
        <v>77</v>
      </c>
      <c r="M246" s="51" t="s">
        <v>37</v>
      </c>
      <c r="N246" s="31" t="s">
        <v>44</v>
      </c>
      <c r="O246" s="31" t="s">
        <v>412</v>
      </c>
      <c r="P246" s="136" t="s">
        <v>561</v>
      </c>
      <c r="Q246" s="61"/>
      <c r="R246" s="61"/>
      <c r="S246" s="61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</row>
    <row r="247" ht="21.0" customHeight="1">
      <c r="A247" s="138"/>
      <c r="B247" s="139" t="s">
        <v>71</v>
      </c>
      <c r="C247" s="143"/>
      <c r="D247" s="144" t="s">
        <v>391</v>
      </c>
      <c r="E247" s="195">
        <v>46059.0</v>
      </c>
      <c r="F247" s="139" t="s">
        <v>212</v>
      </c>
      <c r="G247" s="139" t="s">
        <v>52</v>
      </c>
      <c r="H247" s="48">
        <f t="shared" si="58"/>
        <v>1680672.269</v>
      </c>
      <c r="I247" s="48">
        <f t="shared" si="59"/>
        <v>319327.7311</v>
      </c>
      <c r="J247" s="42">
        <v>0.0</v>
      </c>
      <c r="K247" s="102">
        <v>2000000.0</v>
      </c>
      <c r="L247" s="51" t="s">
        <v>77</v>
      </c>
      <c r="M247" s="51" t="s">
        <v>36</v>
      </c>
      <c r="N247" s="31" t="s">
        <v>44</v>
      </c>
      <c r="O247" s="31" t="s">
        <v>391</v>
      </c>
      <c r="P247" s="136" t="s">
        <v>561</v>
      </c>
      <c r="Q247" s="61"/>
      <c r="R247" s="61"/>
      <c r="S247" s="61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</row>
    <row r="248" ht="21.0" customHeight="1">
      <c r="A248" s="138"/>
      <c r="B248" s="139" t="s">
        <v>71</v>
      </c>
      <c r="C248" s="143"/>
      <c r="D248" s="144" t="s">
        <v>412</v>
      </c>
      <c r="E248" s="195">
        <v>46059.0</v>
      </c>
      <c r="F248" s="139" t="s">
        <v>212</v>
      </c>
      <c r="G248" s="139" t="s">
        <v>52</v>
      </c>
      <c r="H248" s="48">
        <f t="shared" si="58"/>
        <v>2936321.849</v>
      </c>
      <c r="I248" s="48">
        <f t="shared" si="59"/>
        <v>557901.1513</v>
      </c>
      <c r="J248" s="42">
        <v>0.0</v>
      </c>
      <c r="K248" s="102">
        <v>3494223.0</v>
      </c>
      <c r="L248" s="51" t="s">
        <v>77</v>
      </c>
      <c r="M248" s="51" t="s">
        <v>37</v>
      </c>
      <c r="N248" s="31" t="s">
        <v>44</v>
      </c>
      <c r="O248" s="31" t="s">
        <v>412</v>
      </c>
      <c r="P248" s="136" t="s">
        <v>561</v>
      </c>
      <c r="Q248" s="61"/>
      <c r="R248" s="61"/>
      <c r="S248" s="61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</row>
    <row r="249" ht="21.0" customHeight="1">
      <c r="A249" s="138"/>
      <c r="B249" s="139" t="s">
        <v>71</v>
      </c>
      <c r="C249" s="143"/>
      <c r="D249" s="144" t="s">
        <v>408</v>
      </c>
      <c r="E249" s="195">
        <v>46059.0</v>
      </c>
      <c r="F249" s="139" t="s">
        <v>212</v>
      </c>
      <c r="G249" s="139" t="s">
        <v>52</v>
      </c>
      <c r="H249" s="48">
        <f t="shared" si="58"/>
        <v>4854.621849</v>
      </c>
      <c r="I249" s="48">
        <f t="shared" si="59"/>
        <v>922.3781513</v>
      </c>
      <c r="J249" s="42">
        <v>0.0</v>
      </c>
      <c r="K249" s="102">
        <v>5777.0</v>
      </c>
      <c r="L249" s="51" t="s">
        <v>77</v>
      </c>
      <c r="M249" s="51" t="s">
        <v>37</v>
      </c>
      <c r="N249" s="31" t="s">
        <v>44</v>
      </c>
      <c r="O249" s="31" t="s">
        <v>408</v>
      </c>
      <c r="P249" s="136" t="s">
        <v>561</v>
      </c>
      <c r="Q249" s="61"/>
      <c r="R249" s="61"/>
      <c r="S249" s="61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</row>
    <row r="250" ht="21.0" customHeight="1">
      <c r="A250" s="138"/>
      <c r="B250" s="139" t="s">
        <v>71</v>
      </c>
      <c r="C250" s="143"/>
      <c r="D250" s="144" t="s">
        <v>391</v>
      </c>
      <c r="E250" s="195">
        <v>46059.0</v>
      </c>
      <c r="F250" s="139" t="s">
        <v>212</v>
      </c>
      <c r="G250" s="139" t="s">
        <v>52</v>
      </c>
      <c r="H250" s="48">
        <f t="shared" si="58"/>
        <v>2941176.471</v>
      </c>
      <c r="I250" s="48">
        <f t="shared" si="59"/>
        <v>558823.5294</v>
      </c>
      <c r="J250" s="42">
        <v>0.0</v>
      </c>
      <c r="K250" s="102">
        <v>3500000.0</v>
      </c>
      <c r="L250" s="51" t="s">
        <v>141</v>
      </c>
      <c r="M250" s="51" t="s">
        <v>36</v>
      </c>
      <c r="N250" s="31" t="s">
        <v>44</v>
      </c>
      <c r="O250" s="31" t="s">
        <v>391</v>
      </c>
      <c r="P250" s="136" t="s">
        <v>561</v>
      </c>
      <c r="Q250" s="61"/>
      <c r="R250" s="61"/>
      <c r="S250" s="61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</row>
    <row r="251" ht="21.0" customHeight="1">
      <c r="A251" s="138"/>
      <c r="B251" s="139" t="s">
        <v>71</v>
      </c>
      <c r="C251" s="144" t="s">
        <v>608</v>
      </c>
      <c r="D251" s="144" t="s">
        <v>307</v>
      </c>
      <c r="E251" s="195">
        <v>46058.0</v>
      </c>
      <c r="F251" s="139" t="s">
        <v>212</v>
      </c>
      <c r="G251" s="139" t="s">
        <v>187</v>
      </c>
      <c r="H251" s="48">
        <f t="shared" si="58"/>
        <v>4842.857143</v>
      </c>
      <c r="I251" s="48">
        <f t="shared" si="59"/>
        <v>920.1428571</v>
      </c>
      <c r="J251" s="42">
        <v>0.0</v>
      </c>
      <c r="K251" s="102">
        <v>5763.0</v>
      </c>
      <c r="L251" s="51" t="s">
        <v>77</v>
      </c>
      <c r="M251" s="51" t="s">
        <v>36</v>
      </c>
      <c r="N251" s="31" t="s">
        <v>44</v>
      </c>
      <c r="O251" s="31" t="s">
        <v>307</v>
      </c>
      <c r="P251" s="136" t="s">
        <v>575</v>
      </c>
      <c r="Q251" s="136" t="s">
        <v>576</v>
      </c>
      <c r="R251" s="61"/>
      <c r="S251" s="61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</row>
    <row r="252" ht="21.0" customHeight="1">
      <c r="A252" s="138"/>
      <c r="B252" s="139" t="s">
        <v>71</v>
      </c>
      <c r="C252" s="143"/>
      <c r="D252" s="144" t="s">
        <v>410</v>
      </c>
      <c r="E252" s="195">
        <v>46058.0</v>
      </c>
      <c r="F252" s="139" t="s">
        <v>212</v>
      </c>
      <c r="G252" s="139" t="s">
        <v>52</v>
      </c>
      <c r="H252" s="48">
        <f t="shared" si="58"/>
        <v>4842.857143</v>
      </c>
      <c r="I252" s="48">
        <f t="shared" si="59"/>
        <v>920.1428571</v>
      </c>
      <c r="J252" s="42">
        <v>0.0</v>
      </c>
      <c r="K252" s="102">
        <v>5763.0</v>
      </c>
      <c r="L252" s="51" t="s">
        <v>77</v>
      </c>
      <c r="M252" s="51" t="s">
        <v>36</v>
      </c>
      <c r="N252" s="31" t="s">
        <v>44</v>
      </c>
      <c r="O252" s="31" t="s">
        <v>410</v>
      </c>
      <c r="P252" s="136" t="s">
        <v>561</v>
      </c>
      <c r="Q252" s="61"/>
      <c r="R252" s="61"/>
      <c r="S252" s="61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</row>
    <row r="253" ht="21.0" customHeight="1">
      <c r="A253" s="138"/>
      <c r="B253" s="139" t="s">
        <v>71</v>
      </c>
      <c r="C253" s="143"/>
      <c r="D253" s="144" t="s">
        <v>411</v>
      </c>
      <c r="E253" s="195">
        <v>46058.0</v>
      </c>
      <c r="F253" s="139" t="s">
        <v>212</v>
      </c>
      <c r="G253" s="139" t="s">
        <v>52</v>
      </c>
      <c r="H253" s="48">
        <f t="shared" si="58"/>
        <v>4842.857143</v>
      </c>
      <c r="I253" s="48">
        <f t="shared" si="59"/>
        <v>920.1428571</v>
      </c>
      <c r="J253" s="42">
        <v>0.0</v>
      </c>
      <c r="K253" s="102">
        <v>5763.0</v>
      </c>
      <c r="L253" s="51" t="s">
        <v>77</v>
      </c>
      <c r="M253" s="51" t="s">
        <v>37</v>
      </c>
      <c r="N253" s="31" t="s">
        <v>44</v>
      </c>
      <c r="O253" s="31" t="s">
        <v>411</v>
      </c>
      <c r="P253" s="136" t="s">
        <v>561</v>
      </c>
      <c r="Q253" s="61"/>
      <c r="R253" s="61"/>
      <c r="S253" s="61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</row>
    <row r="254" ht="21.0" customHeight="1">
      <c r="A254" s="138"/>
      <c r="B254" s="139" t="s">
        <v>71</v>
      </c>
      <c r="C254" s="143"/>
      <c r="D254" s="144" t="s">
        <v>410</v>
      </c>
      <c r="E254" s="195">
        <v>46057.0</v>
      </c>
      <c r="F254" s="139" t="s">
        <v>212</v>
      </c>
      <c r="G254" s="139" t="s">
        <v>52</v>
      </c>
      <c r="H254" s="48">
        <f t="shared" si="58"/>
        <v>6.722689076</v>
      </c>
      <c r="I254" s="48">
        <f t="shared" si="59"/>
        <v>1.277310924</v>
      </c>
      <c r="J254" s="42">
        <v>0.0</v>
      </c>
      <c r="K254" s="102">
        <v>8.0</v>
      </c>
      <c r="L254" s="51" t="s">
        <v>77</v>
      </c>
      <c r="M254" s="51" t="s">
        <v>36</v>
      </c>
      <c r="N254" s="31" t="s">
        <v>44</v>
      </c>
      <c r="O254" s="31" t="s">
        <v>410</v>
      </c>
      <c r="P254" s="136" t="s">
        <v>561</v>
      </c>
      <c r="Q254" s="61"/>
      <c r="R254" s="61"/>
      <c r="S254" s="61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</row>
    <row r="255" ht="21.0" customHeight="1">
      <c r="A255" s="138"/>
      <c r="B255" s="139" t="s">
        <v>71</v>
      </c>
      <c r="C255" s="143"/>
      <c r="D255" s="144" t="s">
        <v>408</v>
      </c>
      <c r="E255" s="195">
        <v>46057.0</v>
      </c>
      <c r="F255" s="139" t="s">
        <v>212</v>
      </c>
      <c r="G255" s="139" t="s">
        <v>52</v>
      </c>
      <c r="H255" s="48">
        <f t="shared" si="58"/>
        <v>2198.319328</v>
      </c>
      <c r="I255" s="48">
        <f t="shared" si="59"/>
        <v>417.6806723</v>
      </c>
      <c r="J255" s="42">
        <v>0.0</v>
      </c>
      <c r="K255" s="102">
        <v>2616.0</v>
      </c>
      <c r="L255" s="51" t="s">
        <v>77</v>
      </c>
      <c r="M255" s="51" t="s">
        <v>37</v>
      </c>
      <c r="N255" s="31" t="s">
        <v>44</v>
      </c>
      <c r="O255" s="31" t="s">
        <v>408</v>
      </c>
      <c r="P255" s="136" t="s">
        <v>561</v>
      </c>
      <c r="Q255" s="61"/>
      <c r="R255" s="61"/>
      <c r="S255" s="61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</row>
    <row r="256" ht="21.0" customHeight="1">
      <c r="A256" s="138"/>
      <c r="B256" s="139" t="s">
        <v>71</v>
      </c>
      <c r="C256" s="144" t="s">
        <v>609</v>
      </c>
      <c r="D256" s="144" t="s">
        <v>610</v>
      </c>
      <c r="E256" s="195">
        <v>46057.0</v>
      </c>
      <c r="F256" s="139" t="s">
        <v>212</v>
      </c>
      <c r="G256" s="139" t="s">
        <v>187</v>
      </c>
      <c r="H256" s="48">
        <f t="shared" si="58"/>
        <v>4842.857143</v>
      </c>
      <c r="I256" s="48">
        <f t="shared" si="59"/>
        <v>920.1428571</v>
      </c>
      <c r="J256" s="42">
        <v>0.0</v>
      </c>
      <c r="K256" s="102">
        <v>5763.0</v>
      </c>
      <c r="L256" s="51" t="s">
        <v>77</v>
      </c>
      <c r="M256" s="51" t="s">
        <v>36</v>
      </c>
      <c r="N256" s="31" t="s">
        <v>44</v>
      </c>
      <c r="O256" s="31" t="s">
        <v>610</v>
      </c>
      <c r="P256" s="136" t="s">
        <v>575</v>
      </c>
      <c r="Q256" s="136" t="s">
        <v>576</v>
      </c>
      <c r="R256" s="61"/>
      <c r="S256" s="61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</row>
    <row r="257" ht="21.0" customHeight="1">
      <c r="A257" s="138"/>
      <c r="B257" s="139" t="s">
        <v>71</v>
      </c>
      <c r="C257" s="143"/>
      <c r="D257" s="144" t="s">
        <v>390</v>
      </c>
      <c r="E257" s="196">
        <v>46057.0</v>
      </c>
      <c r="F257" s="139" t="s">
        <v>212</v>
      </c>
      <c r="G257" s="154" t="s">
        <v>52</v>
      </c>
      <c r="H257" s="48">
        <f t="shared" si="58"/>
        <v>4842.857143</v>
      </c>
      <c r="I257" s="48">
        <f t="shared" si="59"/>
        <v>920.1428571</v>
      </c>
      <c r="J257" s="42">
        <v>0.0</v>
      </c>
      <c r="K257" s="102">
        <v>5763.0</v>
      </c>
      <c r="L257" s="115" t="s">
        <v>77</v>
      </c>
      <c r="M257" s="51" t="s">
        <v>37</v>
      </c>
      <c r="N257" s="61" t="s">
        <v>44</v>
      </c>
      <c r="O257" s="31" t="s">
        <v>390</v>
      </c>
      <c r="P257" s="136" t="s">
        <v>561</v>
      </c>
      <c r="Q257" s="61"/>
      <c r="R257" s="61"/>
      <c r="S257" s="61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</row>
    <row r="258" ht="22.5" customHeight="1">
      <c r="A258" s="138" t="s">
        <v>310</v>
      </c>
      <c r="B258" s="154" t="s">
        <v>48</v>
      </c>
      <c r="C258" s="143" t="s">
        <v>611</v>
      </c>
      <c r="D258" s="143" t="s">
        <v>612</v>
      </c>
      <c r="E258" s="197">
        <v>46057.0</v>
      </c>
      <c r="F258" s="156" t="s">
        <v>51</v>
      </c>
      <c r="G258" s="154" t="s">
        <v>187</v>
      </c>
      <c r="H258" s="88">
        <f t="shared" si="58"/>
        <v>84033.61345</v>
      </c>
      <c r="I258" s="48">
        <f t="shared" si="59"/>
        <v>15966.38655</v>
      </c>
      <c r="J258" s="39">
        <v>0.0</v>
      </c>
      <c r="K258" s="163">
        <v>100000.0</v>
      </c>
      <c r="L258" s="115" t="s">
        <v>77</v>
      </c>
      <c r="M258" s="115" t="s">
        <v>37</v>
      </c>
      <c r="N258" s="61" t="s">
        <v>46</v>
      </c>
      <c r="O258" s="61" t="s">
        <v>613</v>
      </c>
      <c r="P258" s="161" t="s">
        <v>606</v>
      </c>
      <c r="Q258" s="61"/>
      <c r="R258" s="61"/>
      <c r="S258" s="61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</row>
    <row r="259" ht="22.5" customHeight="1">
      <c r="A259" s="138" t="s">
        <v>69</v>
      </c>
      <c r="B259" s="154" t="s">
        <v>614</v>
      </c>
      <c r="C259" s="143" t="s">
        <v>47</v>
      </c>
      <c r="D259" s="198" t="s">
        <v>615</v>
      </c>
      <c r="E259" s="197">
        <v>46057.0</v>
      </c>
      <c r="F259" s="156" t="s">
        <v>51</v>
      </c>
      <c r="G259" s="154" t="s">
        <v>52</v>
      </c>
      <c r="H259" s="48">
        <f t="shared" si="58"/>
        <v>1504.201681</v>
      </c>
      <c r="I259" s="48">
        <f t="shared" si="59"/>
        <v>285.7983193</v>
      </c>
      <c r="J259" s="42">
        <v>0.0</v>
      </c>
      <c r="K259" s="163">
        <v>1790.0</v>
      </c>
      <c r="L259" s="115" t="s">
        <v>77</v>
      </c>
      <c r="M259" s="115" t="s">
        <v>37</v>
      </c>
      <c r="N259" s="61" t="s">
        <v>44</v>
      </c>
      <c r="O259" s="61" t="s">
        <v>616</v>
      </c>
      <c r="P259" s="61" t="s">
        <v>617</v>
      </c>
      <c r="Q259" s="61"/>
      <c r="R259" s="61"/>
      <c r="S259" s="61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</row>
    <row r="260" ht="21.0" customHeight="1">
      <c r="A260" s="138"/>
      <c r="B260" s="139" t="s">
        <v>71</v>
      </c>
      <c r="C260" s="143"/>
      <c r="D260" s="144" t="s">
        <v>391</v>
      </c>
      <c r="E260" s="196">
        <v>46057.0</v>
      </c>
      <c r="F260" s="139" t="s">
        <v>212</v>
      </c>
      <c r="G260" s="154" t="s">
        <v>52</v>
      </c>
      <c r="H260" s="48">
        <f t="shared" si="58"/>
        <v>1504.201681</v>
      </c>
      <c r="I260" s="48">
        <f t="shared" si="59"/>
        <v>285.7983193</v>
      </c>
      <c r="J260" s="42">
        <v>0.0</v>
      </c>
      <c r="K260" s="102">
        <v>1790.0</v>
      </c>
      <c r="L260" s="115" t="s">
        <v>77</v>
      </c>
      <c r="M260" s="51" t="s">
        <v>36</v>
      </c>
      <c r="N260" s="61" t="s">
        <v>44</v>
      </c>
      <c r="O260" s="31" t="s">
        <v>391</v>
      </c>
      <c r="P260" s="136" t="s">
        <v>561</v>
      </c>
      <c r="Q260" s="61"/>
      <c r="R260" s="61"/>
      <c r="S260" s="61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</row>
    <row r="261" ht="27.75" customHeight="1">
      <c r="A261" s="138" t="s">
        <v>69</v>
      </c>
      <c r="B261" s="154" t="s">
        <v>614</v>
      </c>
      <c r="C261" s="143" t="s">
        <v>47</v>
      </c>
      <c r="D261" s="143" t="s">
        <v>604</v>
      </c>
      <c r="E261" s="197">
        <v>46057.0</v>
      </c>
      <c r="F261" s="156" t="s">
        <v>51</v>
      </c>
      <c r="G261" s="154" t="s">
        <v>52</v>
      </c>
      <c r="H261" s="48">
        <f t="shared" si="58"/>
        <v>3338.655462</v>
      </c>
      <c r="I261" s="48">
        <f t="shared" si="59"/>
        <v>634.3445378</v>
      </c>
      <c r="J261" s="42">
        <v>0.0</v>
      </c>
      <c r="K261" s="163">
        <v>3973.0</v>
      </c>
      <c r="L261" s="115" t="s">
        <v>77</v>
      </c>
      <c r="M261" s="115" t="s">
        <v>37</v>
      </c>
      <c r="N261" s="61" t="s">
        <v>44</v>
      </c>
      <c r="O261" s="61" t="s">
        <v>616</v>
      </c>
      <c r="P261" s="61" t="s">
        <v>617</v>
      </c>
      <c r="Q261" s="61"/>
      <c r="R261" s="61"/>
      <c r="S261" s="61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</row>
    <row r="262" ht="21.0" customHeight="1">
      <c r="A262" s="138"/>
      <c r="B262" s="139" t="s">
        <v>71</v>
      </c>
      <c r="C262" s="143"/>
      <c r="D262" s="144" t="s">
        <v>391</v>
      </c>
      <c r="E262" s="196">
        <v>46057.0</v>
      </c>
      <c r="F262" s="139" t="s">
        <v>212</v>
      </c>
      <c r="G262" s="154" t="s">
        <v>52</v>
      </c>
      <c r="H262" s="48">
        <f t="shared" si="58"/>
        <v>3338.655462</v>
      </c>
      <c r="I262" s="48">
        <f t="shared" si="59"/>
        <v>634.3445378</v>
      </c>
      <c r="J262" s="42">
        <v>0.0</v>
      </c>
      <c r="K262" s="163">
        <v>3973.0</v>
      </c>
      <c r="L262" s="115" t="s">
        <v>77</v>
      </c>
      <c r="M262" s="51" t="s">
        <v>36</v>
      </c>
      <c r="N262" s="61" t="s">
        <v>44</v>
      </c>
      <c r="O262" s="31" t="s">
        <v>391</v>
      </c>
      <c r="P262" s="136" t="s">
        <v>561</v>
      </c>
      <c r="Q262" s="61"/>
      <c r="R262" s="61"/>
      <c r="S262" s="61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</row>
    <row r="263" ht="22.5" customHeight="1">
      <c r="A263" s="138" t="s">
        <v>69</v>
      </c>
      <c r="B263" s="154" t="s">
        <v>614</v>
      </c>
      <c r="C263" s="143" t="s">
        <v>47</v>
      </c>
      <c r="D263" s="143" t="s">
        <v>604</v>
      </c>
      <c r="E263" s="197">
        <v>46057.0</v>
      </c>
      <c r="F263" s="156" t="s">
        <v>51</v>
      </c>
      <c r="G263" s="154" t="s">
        <v>52</v>
      </c>
      <c r="H263" s="48">
        <f t="shared" si="58"/>
        <v>2191.596639</v>
      </c>
      <c r="I263" s="48">
        <f t="shared" si="59"/>
        <v>416.4033613</v>
      </c>
      <c r="J263" s="42">
        <v>0.0</v>
      </c>
      <c r="K263" s="163">
        <v>2608.0</v>
      </c>
      <c r="L263" s="115" t="s">
        <v>77</v>
      </c>
      <c r="M263" s="115" t="s">
        <v>37</v>
      </c>
      <c r="N263" s="61" t="s">
        <v>44</v>
      </c>
      <c r="O263" s="61" t="s">
        <v>616</v>
      </c>
      <c r="P263" s="61" t="s">
        <v>617</v>
      </c>
      <c r="Q263" s="61"/>
      <c r="R263" s="61"/>
      <c r="S263" s="61"/>
      <c r="T263" s="59"/>
      <c r="U263" s="199"/>
      <c r="V263" s="59"/>
      <c r="W263" s="199"/>
      <c r="X263" s="199"/>
      <c r="Y263" s="199"/>
      <c r="Z263" s="199"/>
      <c r="AA263" s="199"/>
      <c r="AB263" s="199"/>
      <c r="AC263" s="199"/>
    </row>
    <row r="264" ht="22.5" customHeight="1">
      <c r="A264" s="138"/>
      <c r="B264" s="139" t="s">
        <v>71</v>
      </c>
      <c r="C264" s="124"/>
      <c r="D264" s="144" t="s">
        <v>391</v>
      </c>
      <c r="E264" s="145">
        <v>46057.0</v>
      </c>
      <c r="F264" s="139" t="s">
        <v>212</v>
      </c>
      <c r="G264" s="139" t="s">
        <v>52</v>
      </c>
      <c r="H264" s="48">
        <f t="shared" si="58"/>
        <v>2191.596639</v>
      </c>
      <c r="I264" s="48">
        <f t="shared" si="59"/>
        <v>416.4033613</v>
      </c>
      <c r="J264" s="42">
        <v>0.0</v>
      </c>
      <c r="K264" s="102">
        <v>2608.0</v>
      </c>
      <c r="L264" s="51" t="s">
        <v>141</v>
      </c>
      <c r="M264" s="51" t="s">
        <v>36</v>
      </c>
      <c r="N264" s="31" t="s">
        <v>44</v>
      </c>
      <c r="O264" s="31" t="s">
        <v>391</v>
      </c>
      <c r="P264" s="136" t="s">
        <v>561</v>
      </c>
      <c r="Q264" s="61"/>
      <c r="R264" s="61"/>
      <c r="S264" s="61"/>
      <c r="T264" s="200"/>
      <c r="U264" s="199"/>
      <c r="V264" s="59"/>
      <c r="W264" s="199"/>
      <c r="X264" s="199"/>
      <c r="Y264" s="199"/>
      <c r="Z264" s="199"/>
      <c r="AA264" s="199"/>
      <c r="AB264" s="199"/>
      <c r="AC264" s="199"/>
    </row>
    <row r="265" ht="22.5" customHeight="1">
      <c r="A265" s="138" t="s">
        <v>177</v>
      </c>
      <c r="B265" s="154" t="s">
        <v>48</v>
      </c>
      <c r="C265" s="124"/>
      <c r="D265" s="143" t="s">
        <v>618</v>
      </c>
      <c r="E265" s="162">
        <v>46056.0</v>
      </c>
      <c r="F265" s="156" t="s">
        <v>51</v>
      </c>
      <c r="G265" s="154" t="s">
        <v>52</v>
      </c>
      <c r="H265" s="48">
        <f t="shared" si="58"/>
        <v>33503.36134</v>
      </c>
      <c r="I265" s="48">
        <f t="shared" si="59"/>
        <v>6365.638655</v>
      </c>
      <c r="J265" s="42">
        <v>0.0</v>
      </c>
      <c r="K265" s="163">
        <v>39869.0</v>
      </c>
      <c r="L265" s="115" t="s">
        <v>77</v>
      </c>
      <c r="M265" s="115" t="s">
        <v>37</v>
      </c>
      <c r="N265" s="61" t="s">
        <v>44</v>
      </c>
      <c r="O265" s="61" t="s">
        <v>619</v>
      </c>
      <c r="P265" s="61" t="s">
        <v>620</v>
      </c>
      <c r="Q265" s="61"/>
      <c r="R265" s="61"/>
      <c r="S265" s="61"/>
      <c r="T265" s="200"/>
      <c r="U265" s="59"/>
      <c r="V265" s="59"/>
      <c r="W265" s="59"/>
      <c r="X265" s="59"/>
      <c r="Y265" s="59"/>
      <c r="Z265" s="59"/>
      <c r="AA265" s="59"/>
      <c r="AB265" s="59"/>
      <c r="AC265" s="59"/>
    </row>
    <row r="266" ht="22.5" customHeight="1">
      <c r="A266" s="157"/>
      <c r="B266" s="165" t="s">
        <v>71</v>
      </c>
      <c r="C266" s="158"/>
      <c r="D266" s="165" t="s">
        <v>621</v>
      </c>
      <c r="E266" s="201">
        <v>46056.0</v>
      </c>
      <c r="F266" s="165" t="s">
        <v>51</v>
      </c>
      <c r="G266" s="165" t="s">
        <v>52</v>
      </c>
      <c r="H266" s="135">
        <f t="shared" si="58"/>
        <v>588235.2941</v>
      </c>
      <c r="I266" s="48">
        <f t="shared" si="59"/>
        <v>111764.7059</v>
      </c>
      <c r="J266" s="42">
        <v>0.0</v>
      </c>
      <c r="K266" s="102">
        <v>700000.0</v>
      </c>
      <c r="L266" s="51" t="s">
        <v>77</v>
      </c>
      <c r="M266" s="51" t="s">
        <v>37</v>
      </c>
      <c r="N266" s="31" t="s">
        <v>46</v>
      </c>
      <c r="O266" s="61"/>
      <c r="P266" s="61"/>
      <c r="Q266" s="61"/>
      <c r="R266" s="61"/>
      <c r="S266" s="202"/>
      <c r="T266" s="59"/>
      <c r="U266" s="199"/>
      <c r="V266" s="59"/>
      <c r="W266" s="199"/>
      <c r="X266" s="199"/>
      <c r="Y266" s="199"/>
      <c r="Z266" s="199"/>
      <c r="AA266" s="199"/>
      <c r="AB266" s="199"/>
      <c r="AC266" s="199"/>
    </row>
    <row r="267" ht="22.5" customHeight="1">
      <c r="A267" s="157"/>
      <c r="B267" s="165" t="s">
        <v>71</v>
      </c>
      <c r="C267" s="158"/>
      <c r="D267" s="165" t="s">
        <v>621</v>
      </c>
      <c r="E267" s="201">
        <v>46056.0</v>
      </c>
      <c r="F267" s="165" t="s">
        <v>51</v>
      </c>
      <c r="G267" s="165" t="s">
        <v>52</v>
      </c>
      <c r="H267" s="135">
        <f t="shared" si="58"/>
        <v>56250.42017</v>
      </c>
      <c r="I267" s="48">
        <f t="shared" si="59"/>
        <v>10687.57983</v>
      </c>
      <c r="J267" s="42">
        <v>0.0</v>
      </c>
      <c r="K267" s="102">
        <v>66938.0</v>
      </c>
      <c r="L267" s="51" t="s">
        <v>77</v>
      </c>
      <c r="M267" s="51" t="s">
        <v>37</v>
      </c>
      <c r="N267" s="31" t="s">
        <v>46</v>
      </c>
      <c r="O267" s="61"/>
      <c r="P267" s="61"/>
      <c r="Q267" s="61"/>
      <c r="R267" s="61"/>
      <c r="S267" s="202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</row>
    <row r="268" ht="22.5" customHeight="1">
      <c r="A268" s="157"/>
      <c r="B268" s="165" t="s">
        <v>71</v>
      </c>
      <c r="C268" s="158"/>
      <c r="D268" s="165" t="s">
        <v>622</v>
      </c>
      <c r="E268" s="201">
        <v>46056.0</v>
      </c>
      <c r="F268" s="165" t="s">
        <v>51</v>
      </c>
      <c r="G268" s="165" t="s">
        <v>52</v>
      </c>
      <c r="H268" s="135">
        <f t="shared" si="58"/>
        <v>109243.6975</v>
      </c>
      <c r="I268" s="48">
        <f t="shared" si="59"/>
        <v>20756.30252</v>
      </c>
      <c r="J268" s="42">
        <v>0.0</v>
      </c>
      <c r="K268" s="102">
        <v>130000.0</v>
      </c>
      <c r="L268" s="51" t="s">
        <v>77</v>
      </c>
      <c r="M268" s="51" t="s">
        <v>37</v>
      </c>
      <c r="N268" s="31" t="s">
        <v>46</v>
      </c>
      <c r="O268" s="31" t="s">
        <v>555</v>
      </c>
      <c r="P268" s="61"/>
      <c r="Q268" s="61"/>
      <c r="R268" s="61"/>
      <c r="S268" s="202"/>
      <c r="T268" s="59"/>
      <c r="U268" s="199"/>
      <c r="V268" s="59"/>
      <c r="W268" s="199"/>
      <c r="X268" s="199"/>
      <c r="Y268" s="199"/>
      <c r="Z268" s="199"/>
      <c r="AA268" s="199"/>
      <c r="AB268" s="199"/>
      <c r="AC268" s="199"/>
    </row>
    <row r="269" ht="22.5" customHeight="1">
      <c r="A269" s="157"/>
      <c r="B269" s="165" t="s">
        <v>71</v>
      </c>
      <c r="C269" s="158"/>
      <c r="D269" s="165" t="s">
        <v>621</v>
      </c>
      <c r="E269" s="201">
        <v>46056.0</v>
      </c>
      <c r="F269" s="165" t="s">
        <v>51</v>
      </c>
      <c r="G269" s="165" t="s">
        <v>52</v>
      </c>
      <c r="H269" s="135">
        <f t="shared" si="58"/>
        <v>171505.042</v>
      </c>
      <c r="I269" s="48">
        <f t="shared" si="59"/>
        <v>32585.95798</v>
      </c>
      <c r="J269" s="42">
        <v>0.0</v>
      </c>
      <c r="K269" s="102">
        <v>204091.0</v>
      </c>
      <c r="L269" s="51" t="s">
        <v>77</v>
      </c>
      <c r="M269" s="51" t="s">
        <v>37</v>
      </c>
      <c r="N269" s="31" t="s">
        <v>46</v>
      </c>
      <c r="O269" s="61"/>
      <c r="P269" s="61"/>
      <c r="Q269" s="61"/>
      <c r="R269" s="61"/>
      <c r="S269" s="202"/>
      <c r="T269" s="59"/>
      <c r="U269" s="199"/>
      <c r="V269" s="59"/>
      <c r="W269" s="199"/>
      <c r="X269" s="199"/>
      <c r="Y269" s="199"/>
      <c r="Z269" s="199"/>
      <c r="AA269" s="199"/>
      <c r="AB269" s="199"/>
      <c r="AC269" s="199"/>
    </row>
    <row r="270" ht="22.5" customHeight="1">
      <c r="A270" s="123"/>
      <c r="B270" s="139" t="s">
        <v>71</v>
      </c>
      <c r="C270" s="143"/>
      <c r="D270" s="144" t="s">
        <v>410</v>
      </c>
      <c r="E270" s="145">
        <v>46055.0</v>
      </c>
      <c r="F270" s="139" t="s">
        <v>212</v>
      </c>
      <c r="G270" s="139" t="s">
        <v>52</v>
      </c>
      <c r="H270" s="135">
        <f t="shared" si="58"/>
        <v>75.6302521</v>
      </c>
      <c r="I270" s="48">
        <f t="shared" si="59"/>
        <v>14.3697479</v>
      </c>
      <c r="J270" s="42">
        <v>0.0</v>
      </c>
      <c r="K270" s="102">
        <v>90.0</v>
      </c>
      <c r="L270" s="51" t="s">
        <v>77</v>
      </c>
      <c r="M270" s="51" t="s">
        <v>36</v>
      </c>
      <c r="N270" s="31" t="s">
        <v>44</v>
      </c>
      <c r="O270" s="31" t="s">
        <v>410</v>
      </c>
      <c r="P270" s="136" t="s">
        <v>561</v>
      </c>
      <c r="Q270" s="61"/>
      <c r="R270" s="61"/>
      <c r="S270" s="202"/>
      <c r="T270" s="59"/>
      <c r="U270" s="199"/>
      <c r="V270" s="59"/>
      <c r="W270" s="199"/>
      <c r="X270" s="199"/>
      <c r="Y270" s="199"/>
      <c r="Z270" s="199"/>
      <c r="AA270" s="199"/>
      <c r="AB270" s="199"/>
      <c r="AC270" s="199"/>
    </row>
    <row r="271" ht="22.5" customHeight="1">
      <c r="A271" s="123"/>
      <c r="B271" s="139" t="s">
        <v>71</v>
      </c>
      <c r="C271" s="143"/>
      <c r="D271" s="144" t="s">
        <v>623</v>
      </c>
      <c r="E271" s="145">
        <v>46055.0</v>
      </c>
      <c r="F271" s="139" t="s">
        <v>212</v>
      </c>
      <c r="G271" s="139" t="s">
        <v>52</v>
      </c>
      <c r="H271" s="135">
        <f t="shared" si="58"/>
        <v>73.94957983</v>
      </c>
      <c r="I271" s="48">
        <f t="shared" si="59"/>
        <v>14.05042017</v>
      </c>
      <c r="J271" s="42">
        <v>0.0</v>
      </c>
      <c r="K271" s="102">
        <v>88.0</v>
      </c>
      <c r="L271" s="51" t="s">
        <v>77</v>
      </c>
      <c r="M271" s="51" t="s">
        <v>37</v>
      </c>
      <c r="N271" s="31" t="s">
        <v>44</v>
      </c>
      <c r="O271" s="31" t="s">
        <v>623</v>
      </c>
      <c r="P271" s="136" t="s">
        <v>624</v>
      </c>
      <c r="Q271" s="61"/>
      <c r="R271" s="61"/>
      <c r="S271" s="202"/>
      <c r="T271" s="59"/>
      <c r="U271" s="199"/>
      <c r="V271" s="59"/>
      <c r="W271" s="199"/>
      <c r="X271" s="199"/>
      <c r="Y271" s="199"/>
      <c r="Z271" s="199"/>
      <c r="AA271" s="199"/>
      <c r="AB271" s="199"/>
      <c r="AC271" s="199"/>
    </row>
    <row r="272" ht="22.5" customHeight="1">
      <c r="A272" s="123"/>
      <c r="B272" s="139" t="s">
        <v>71</v>
      </c>
      <c r="C272" s="143"/>
      <c r="D272" s="144" t="s">
        <v>392</v>
      </c>
      <c r="E272" s="145">
        <v>46055.0</v>
      </c>
      <c r="F272" s="139" t="s">
        <v>212</v>
      </c>
      <c r="G272" s="139" t="s">
        <v>52</v>
      </c>
      <c r="H272" s="135">
        <f t="shared" si="58"/>
        <v>1.680672269</v>
      </c>
      <c r="I272" s="48">
        <f t="shared" si="59"/>
        <v>0.3193277311</v>
      </c>
      <c r="J272" s="42">
        <v>0.0</v>
      </c>
      <c r="K272" s="102">
        <v>2.0</v>
      </c>
      <c r="L272" s="51" t="s">
        <v>77</v>
      </c>
      <c r="M272" s="51" t="s">
        <v>37</v>
      </c>
      <c r="N272" s="31" t="s">
        <v>46</v>
      </c>
      <c r="O272" s="31" t="s">
        <v>392</v>
      </c>
      <c r="P272" s="136" t="s">
        <v>624</v>
      </c>
      <c r="Q272" s="61"/>
      <c r="R272" s="61"/>
      <c r="S272" s="202"/>
      <c r="T272" s="59"/>
      <c r="U272" s="199"/>
      <c r="V272" s="59"/>
      <c r="W272" s="199"/>
      <c r="X272" s="199"/>
      <c r="Y272" s="199"/>
      <c r="Z272" s="199"/>
      <c r="AA272" s="199"/>
      <c r="AB272" s="199"/>
      <c r="AC272" s="199"/>
    </row>
    <row r="273" ht="22.5" customHeight="1">
      <c r="A273" s="123" t="s">
        <v>40</v>
      </c>
      <c r="B273" s="154" t="s">
        <v>48</v>
      </c>
      <c r="C273" s="143">
        <v>11.0</v>
      </c>
      <c r="D273" s="143" t="s">
        <v>625</v>
      </c>
      <c r="E273" s="162">
        <v>46055.0</v>
      </c>
      <c r="F273" s="156" t="s">
        <v>51</v>
      </c>
      <c r="G273" s="154" t="s">
        <v>52</v>
      </c>
      <c r="H273" s="48">
        <v>272727.0</v>
      </c>
      <c r="I273" s="42">
        <v>0.0</v>
      </c>
      <c r="J273" s="48">
        <v>41591.0</v>
      </c>
      <c r="K273" s="163">
        <v>231136.0</v>
      </c>
      <c r="L273" s="115" t="s">
        <v>77</v>
      </c>
      <c r="M273" s="115" t="s">
        <v>37</v>
      </c>
      <c r="N273" s="61" t="s">
        <v>46</v>
      </c>
      <c r="O273" s="31" t="s">
        <v>522</v>
      </c>
      <c r="P273" s="161" t="s">
        <v>626</v>
      </c>
      <c r="Q273" s="61"/>
      <c r="R273" s="61"/>
      <c r="S273" s="202"/>
      <c r="T273" s="59"/>
      <c r="U273" s="199"/>
      <c r="V273" s="59"/>
      <c r="W273" s="199"/>
      <c r="X273" s="199"/>
      <c r="Y273" s="199"/>
      <c r="Z273" s="199"/>
      <c r="AA273" s="199"/>
      <c r="AB273" s="199"/>
      <c r="AC273" s="199"/>
    </row>
    <row r="274" ht="22.5" customHeight="1">
      <c r="A274" s="138" t="s">
        <v>177</v>
      </c>
      <c r="B274" s="124" t="s">
        <v>48</v>
      </c>
      <c r="C274" s="124">
        <v>24.0</v>
      </c>
      <c r="D274" s="158" t="s">
        <v>627</v>
      </c>
      <c r="E274" s="197">
        <v>46051.0</v>
      </c>
      <c r="F274" s="156" t="s">
        <v>51</v>
      </c>
      <c r="G274" s="154" t="s">
        <v>52</v>
      </c>
      <c r="H274" s="48">
        <f t="shared" ref="H274:H278" si="60">K274/1.19</f>
        <v>525000</v>
      </c>
      <c r="I274" s="48">
        <f t="shared" ref="I274:I278" si="61">H274*19%</f>
        <v>99750</v>
      </c>
      <c r="J274" s="42">
        <v>0.0</v>
      </c>
      <c r="K274" s="163">
        <v>624750.0</v>
      </c>
      <c r="L274" s="115" t="s">
        <v>77</v>
      </c>
      <c r="M274" s="115" t="s">
        <v>37</v>
      </c>
      <c r="N274" s="61" t="s">
        <v>44</v>
      </c>
      <c r="O274" s="61" t="s">
        <v>628</v>
      </c>
      <c r="P274" s="161" t="s">
        <v>629</v>
      </c>
      <c r="Q274" s="61"/>
      <c r="R274" s="61"/>
      <c r="S274" s="202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</row>
    <row r="275" ht="22.5" customHeight="1">
      <c r="A275" s="138" t="s">
        <v>148</v>
      </c>
      <c r="B275" s="124" t="s">
        <v>48</v>
      </c>
      <c r="C275" s="124">
        <v>1.0566457E7</v>
      </c>
      <c r="D275" s="158" t="s">
        <v>630</v>
      </c>
      <c r="E275" s="197">
        <v>46050.0</v>
      </c>
      <c r="F275" s="156" t="s">
        <v>51</v>
      </c>
      <c r="G275" s="154" t="s">
        <v>52</v>
      </c>
      <c r="H275" s="48">
        <f t="shared" si="60"/>
        <v>13445.37815</v>
      </c>
      <c r="I275" s="48">
        <f t="shared" si="61"/>
        <v>2554.621849</v>
      </c>
      <c r="J275" s="42">
        <v>0.0</v>
      </c>
      <c r="K275" s="163">
        <v>16000.0</v>
      </c>
      <c r="L275" s="115" t="s">
        <v>77</v>
      </c>
      <c r="M275" s="115" t="s">
        <v>37</v>
      </c>
      <c r="N275" s="61" t="s">
        <v>44</v>
      </c>
      <c r="O275" s="61" t="s">
        <v>631</v>
      </c>
      <c r="P275" s="161" t="s">
        <v>632</v>
      </c>
      <c r="Q275" s="61"/>
      <c r="R275" s="61"/>
      <c r="S275" s="61"/>
      <c r="T275" s="203"/>
      <c r="U275" s="199"/>
      <c r="V275" s="59"/>
      <c r="W275" s="203"/>
      <c r="X275" s="203"/>
      <c r="Y275" s="203"/>
      <c r="Z275" s="203"/>
      <c r="AA275" s="203"/>
      <c r="AB275" s="203"/>
      <c r="AC275" s="203"/>
    </row>
    <row r="276" ht="22.5" customHeight="1">
      <c r="A276" s="138" t="s">
        <v>148</v>
      </c>
      <c r="B276" s="124" t="s">
        <v>48</v>
      </c>
      <c r="C276" s="124">
        <v>8.3719984399E10</v>
      </c>
      <c r="D276" s="158" t="s">
        <v>633</v>
      </c>
      <c r="E276" s="197">
        <v>46050.0</v>
      </c>
      <c r="F276" s="156" t="s">
        <v>51</v>
      </c>
      <c r="G276" s="154" t="s">
        <v>52</v>
      </c>
      <c r="H276" s="48">
        <f t="shared" si="60"/>
        <v>6848.739496</v>
      </c>
      <c r="I276" s="48">
        <f t="shared" si="61"/>
        <v>1301.260504</v>
      </c>
      <c r="J276" s="42">
        <v>0.0</v>
      </c>
      <c r="K276" s="204">
        <v>8150.0</v>
      </c>
      <c r="L276" s="115" t="s">
        <v>77</v>
      </c>
      <c r="M276" s="115" t="s">
        <v>37</v>
      </c>
      <c r="N276" s="61" t="s">
        <v>44</v>
      </c>
      <c r="O276" s="61" t="s">
        <v>631</v>
      </c>
      <c r="P276" s="161" t="s">
        <v>634</v>
      </c>
      <c r="Q276" s="161" t="s">
        <v>635</v>
      </c>
      <c r="R276" s="61"/>
      <c r="S276" s="61"/>
      <c r="T276" s="59"/>
      <c r="U276" s="199"/>
      <c r="V276" s="59"/>
      <c r="W276" s="59"/>
      <c r="X276" s="59"/>
      <c r="Y276" s="59"/>
      <c r="Z276" s="59"/>
      <c r="AA276" s="59"/>
      <c r="AB276" s="59"/>
      <c r="AC276" s="59"/>
    </row>
    <row r="277" ht="22.5" customHeight="1">
      <c r="A277" s="138" t="s">
        <v>177</v>
      </c>
      <c r="B277" s="124" t="s">
        <v>48</v>
      </c>
      <c r="C277" s="124">
        <v>907.0</v>
      </c>
      <c r="D277" s="158" t="s">
        <v>636</v>
      </c>
      <c r="E277" s="197">
        <v>46049.0</v>
      </c>
      <c r="F277" s="156" t="s">
        <v>51</v>
      </c>
      <c r="G277" s="154" t="s">
        <v>52</v>
      </c>
      <c r="H277" s="48">
        <f t="shared" si="60"/>
        <v>47800</v>
      </c>
      <c r="I277" s="48">
        <f t="shared" si="61"/>
        <v>9082</v>
      </c>
      <c r="J277" s="42">
        <v>0.0</v>
      </c>
      <c r="K277" s="163">
        <v>56882.0</v>
      </c>
      <c r="L277" s="115" t="s">
        <v>77</v>
      </c>
      <c r="M277" s="115" t="s">
        <v>37</v>
      </c>
      <c r="N277" s="61" t="s">
        <v>44</v>
      </c>
      <c r="O277" s="61" t="s">
        <v>637</v>
      </c>
      <c r="P277" s="161" t="s">
        <v>177</v>
      </c>
      <c r="Q277" s="61"/>
      <c r="R277" s="61"/>
      <c r="S277" s="61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</row>
    <row r="278" ht="22.5" customHeight="1">
      <c r="A278" s="157"/>
      <c r="B278" s="165" t="s">
        <v>71</v>
      </c>
      <c r="C278" s="165" t="s">
        <v>638</v>
      </c>
      <c r="D278" s="205" t="s">
        <v>639</v>
      </c>
      <c r="E278" s="201">
        <v>46049.0</v>
      </c>
      <c r="F278" s="165" t="s">
        <v>212</v>
      </c>
      <c r="G278" s="165" t="s">
        <v>187</v>
      </c>
      <c r="H278" s="48">
        <f t="shared" si="60"/>
        <v>13235.92437</v>
      </c>
      <c r="I278" s="48">
        <f t="shared" si="61"/>
        <v>2514.82563</v>
      </c>
      <c r="J278" s="42">
        <v>0.0</v>
      </c>
      <c r="K278" s="102">
        <v>15750.75</v>
      </c>
      <c r="L278" s="115" t="s">
        <v>77</v>
      </c>
      <c r="M278" s="51" t="s">
        <v>37</v>
      </c>
      <c r="N278" s="31" t="s">
        <v>44</v>
      </c>
      <c r="O278" s="206" t="s">
        <v>640</v>
      </c>
      <c r="P278" s="136" t="s">
        <v>641</v>
      </c>
      <c r="Q278" s="136" t="s">
        <v>642</v>
      </c>
      <c r="R278" s="61"/>
      <c r="S278" s="61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</row>
    <row r="279" ht="22.5" customHeight="1">
      <c r="A279" s="157" t="s">
        <v>177</v>
      </c>
      <c r="B279" s="158" t="s">
        <v>48</v>
      </c>
      <c r="C279" s="158">
        <v>2.1011282E7</v>
      </c>
      <c r="D279" s="158" t="s">
        <v>643</v>
      </c>
      <c r="E279" s="159">
        <v>46048.0</v>
      </c>
      <c r="F279" s="160" t="s">
        <v>51</v>
      </c>
      <c r="G279" s="158" t="s">
        <v>52</v>
      </c>
      <c r="H279" s="48">
        <v>14781.0</v>
      </c>
      <c r="I279" s="48">
        <v>2808.0</v>
      </c>
      <c r="J279" s="42">
        <v>0.0</v>
      </c>
      <c r="K279" s="163">
        <v>17589.0</v>
      </c>
      <c r="L279" s="115" t="s">
        <v>77</v>
      </c>
      <c r="M279" s="115" t="s">
        <v>37</v>
      </c>
      <c r="N279" s="61" t="s">
        <v>46</v>
      </c>
      <c r="O279" s="61" t="s">
        <v>644</v>
      </c>
      <c r="P279" s="207" t="s">
        <v>645</v>
      </c>
      <c r="Q279" s="61"/>
      <c r="R279" s="61"/>
      <c r="S279" s="61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</row>
    <row r="280" ht="22.5" customHeight="1">
      <c r="A280" s="157" t="s">
        <v>177</v>
      </c>
      <c r="B280" s="158" t="s">
        <v>48</v>
      </c>
      <c r="C280" s="158">
        <v>5.2728854E7</v>
      </c>
      <c r="D280" s="158" t="s">
        <v>643</v>
      </c>
      <c r="E280" s="159">
        <v>46048.0</v>
      </c>
      <c r="F280" s="160" t="s">
        <v>51</v>
      </c>
      <c r="G280" s="158" t="s">
        <v>52</v>
      </c>
      <c r="H280" s="48">
        <v>43459.0</v>
      </c>
      <c r="I280" s="48">
        <v>1899.0</v>
      </c>
      <c r="J280" s="42">
        <v>0.0</v>
      </c>
      <c r="K280" s="163">
        <v>45258.0</v>
      </c>
      <c r="L280" s="115" t="s">
        <v>77</v>
      </c>
      <c r="M280" s="115" t="s">
        <v>37</v>
      </c>
      <c r="N280" s="61" t="s">
        <v>46</v>
      </c>
      <c r="O280" s="61" t="s">
        <v>646</v>
      </c>
      <c r="P280" s="207" t="s">
        <v>647</v>
      </c>
      <c r="Q280" s="61"/>
      <c r="R280" s="61"/>
      <c r="S280" s="61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</row>
    <row r="281" ht="22.5" customHeight="1">
      <c r="A281" s="123" t="s">
        <v>40</v>
      </c>
      <c r="B281" s="124" t="s">
        <v>48</v>
      </c>
      <c r="C281" s="63"/>
      <c r="D281" s="131" t="s">
        <v>648</v>
      </c>
      <c r="E281" s="132">
        <v>46045.0</v>
      </c>
      <c r="F281" s="160" t="s">
        <v>51</v>
      </c>
      <c r="G281" s="158" t="s">
        <v>52</v>
      </c>
      <c r="H281" s="48">
        <f>K281-I281</f>
        <v>4860</v>
      </c>
      <c r="I281" s="48">
        <v>1140.0</v>
      </c>
      <c r="J281" s="39">
        <v>0.0</v>
      </c>
      <c r="K281" s="208">
        <v>6000.0</v>
      </c>
      <c r="L281" s="115" t="s">
        <v>77</v>
      </c>
      <c r="M281" s="115" t="s">
        <v>37</v>
      </c>
      <c r="N281" s="57" t="s">
        <v>44</v>
      </c>
      <c r="O281" s="57" t="s">
        <v>649</v>
      </c>
      <c r="P281" s="133" t="s">
        <v>650</v>
      </c>
      <c r="Q281" s="57"/>
      <c r="R281" s="57"/>
      <c r="S281" s="57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</row>
    <row r="282" ht="22.5" customHeight="1">
      <c r="A282" s="157"/>
      <c r="B282" s="165" t="s">
        <v>71</v>
      </c>
      <c r="C282" s="165" t="s">
        <v>651</v>
      </c>
      <c r="D282" s="165" t="s">
        <v>222</v>
      </c>
      <c r="E282" s="201">
        <v>46043.0</v>
      </c>
      <c r="F282" s="165" t="s">
        <v>212</v>
      </c>
      <c r="G282" s="165" t="s">
        <v>187</v>
      </c>
      <c r="H282" s="48">
        <f t="shared" ref="H282:H285" si="62">K282/1.19</f>
        <v>15580.84034</v>
      </c>
      <c r="I282" s="48">
        <f t="shared" ref="I282:I285" si="63">H282*19%</f>
        <v>2960.359664</v>
      </c>
      <c r="J282" s="42">
        <v>0.0</v>
      </c>
      <c r="K282" s="102">
        <v>18541.2</v>
      </c>
      <c r="L282" s="51" t="s">
        <v>77</v>
      </c>
      <c r="M282" s="209" t="s">
        <v>37</v>
      </c>
      <c r="N282" s="31" t="s">
        <v>46</v>
      </c>
      <c r="O282" s="165" t="s">
        <v>652</v>
      </c>
      <c r="P282" s="136" t="s">
        <v>641</v>
      </c>
      <c r="Q282" s="136" t="s">
        <v>642</v>
      </c>
      <c r="R282" s="61"/>
      <c r="S282" s="61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</row>
    <row r="283" ht="22.5" customHeight="1">
      <c r="A283" s="157" t="s">
        <v>69</v>
      </c>
      <c r="B283" s="158" t="s">
        <v>48</v>
      </c>
      <c r="C283" s="158">
        <v>1.3031284E7</v>
      </c>
      <c r="D283" s="158" t="s">
        <v>653</v>
      </c>
      <c r="E283" s="159">
        <v>46042.0</v>
      </c>
      <c r="F283" s="160" t="s">
        <v>51</v>
      </c>
      <c r="G283" s="158" t="s">
        <v>52</v>
      </c>
      <c r="H283" s="48">
        <f t="shared" si="62"/>
        <v>12040.33613</v>
      </c>
      <c r="I283" s="48">
        <f t="shared" si="63"/>
        <v>2287.663866</v>
      </c>
      <c r="J283" s="42">
        <v>0.0</v>
      </c>
      <c r="K283" s="163">
        <v>14328.0</v>
      </c>
      <c r="L283" s="173" t="s">
        <v>137</v>
      </c>
      <c r="M283" s="173" t="s">
        <v>38</v>
      </c>
      <c r="N283" s="61" t="s">
        <v>44</v>
      </c>
      <c r="O283" s="61" t="s">
        <v>654</v>
      </c>
      <c r="P283" s="207" t="s">
        <v>655</v>
      </c>
      <c r="Q283" s="61"/>
      <c r="R283" s="61"/>
      <c r="S283" s="61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</row>
    <row r="284" ht="22.5" customHeight="1">
      <c r="A284" s="157" t="s">
        <v>177</v>
      </c>
      <c r="B284" s="158" t="s">
        <v>614</v>
      </c>
      <c r="C284" s="124"/>
      <c r="D284" s="158" t="s">
        <v>656</v>
      </c>
      <c r="E284" s="159">
        <v>46042.0</v>
      </c>
      <c r="F284" s="160" t="s">
        <v>51</v>
      </c>
      <c r="G284" s="158" t="s">
        <v>52</v>
      </c>
      <c r="H284" s="48">
        <f t="shared" si="62"/>
        <v>6201.680672</v>
      </c>
      <c r="I284" s="48">
        <f t="shared" si="63"/>
        <v>1178.319328</v>
      </c>
      <c r="J284" s="42">
        <v>0.0</v>
      </c>
      <c r="K284" s="163">
        <v>7380.0</v>
      </c>
      <c r="L284" s="115" t="s">
        <v>77</v>
      </c>
      <c r="M284" s="115" t="s">
        <v>37</v>
      </c>
      <c r="N284" s="61" t="s">
        <v>44</v>
      </c>
      <c r="O284" s="61" t="s">
        <v>657</v>
      </c>
      <c r="P284" s="61" t="s">
        <v>658</v>
      </c>
      <c r="Q284" s="61"/>
      <c r="R284" s="61"/>
      <c r="S284" s="61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</row>
    <row r="285" ht="22.5" customHeight="1">
      <c r="A285" s="157"/>
      <c r="B285" s="165" t="s">
        <v>71</v>
      </c>
      <c r="C285" s="165" t="s">
        <v>659</v>
      </c>
      <c r="D285" s="165" t="s">
        <v>225</v>
      </c>
      <c r="E285" s="201">
        <v>46042.0</v>
      </c>
      <c r="F285" s="165" t="s">
        <v>212</v>
      </c>
      <c r="G285" s="165" t="s">
        <v>187</v>
      </c>
      <c r="H285" s="48">
        <f t="shared" si="62"/>
        <v>3338.655462</v>
      </c>
      <c r="I285" s="48">
        <f t="shared" si="63"/>
        <v>634.3445378</v>
      </c>
      <c r="J285" s="42">
        <v>0.0</v>
      </c>
      <c r="K285" s="102">
        <v>3973.0</v>
      </c>
      <c r="L285" s="51" t="s">
        <v>77</v>
      </c>
      <c r="M285" s="51" t="s">
        <v>37</v>
      </c>
      <c r="N285" s="31" t="s">
        <v>46</v>
      </c>
      <c r="O285" s="31" t="s">
        <v>225</v>
      </c>
      <c r="P285" s="136" t="s">
        <v>660</v>
      </c>
      <c r="Q285" s="136" t="s">
        <v>661</v>
      </c>
      <c r="R285" s="61"/>
      <c r="S285" s="61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</row>
    <row r="286" ht="22.5" customHeight="1">
      <c r="A286" s="169" t="s">
        <v>177</v>
      </c>
      <c r="B286" s="154" t="s">
        <v>48</v>
      </c>
      <c r="C286" s="63">
        <v>24.0</v>
      </c>
      <c r="D286" s="131" t="s">
        <v>662</v>
      </c>
      <c r="E286" s="132">
        <v>46041.0</v>
      </c>
      <c r="F286" s="156" t="s">
        <v>51</v>
      </c>
      <c r="G286" s="154" t="s">
        <v>52</v>
      </c>
      <c r="H286" s="88">
        <v>506048.0</v>
      </c>
      <c r="I286" s="48">
        <v>118702.0</v>
      </c>
      <c r="J286" s="39">
        <v>0.0</v>
      </c>
      <c r="K286" s="208">
        <v>624750.0</v>
      </c>
      <c r="L286" s="115" t="s">
        <v>77</v>
      </c>
      <c r="M286" s="115" t="s">
        <v>37</v>
      </c>
      <c r="N286" s="57" t="s">
        <v>44</v>
      </c>
      <c r="O286" s="57" t="s">
        <v>663</v>
      </c>
      <c r="P286" s="57" t="s">
        <v>664</v>
      </c>
      <c r="Q286" s="57"/>
      <c r="R286" s="57"/>
      <c r="S286" s="57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</row>
    <row r="287" ht="22.5" customHeight="1">
      <c r="A287" s="177" t="s">
        <v>40</v>
      </c>
      <c r="B287" s="210" t="s">
        <v>48</v>
      </c>
      <c r="C287" s="211">
        <v>12.0</v>
      </c>
      <c r="D287" s="211" t="s">
        <v>665</v>
      </c>
      <c r="E287" s="212">
        <v>46038.0</v>
      </c>
      <c r="F287" s="213" t="s">
        <v>51</v>
      </c>
      <c r="G287" s="211" t="s">
        <v>52</v>
      </c>
      <c r="H287" s="184">
        <v>500000.0</v>
      </c>
      <c r="I287" s="214">
        <v>0.0</v>
      </c>
      <c r="J287" s="215">
        <v>89971.0</v>
      </c>
      <c r="K287" s="215">
        <f>J287+H287</f>
        <v>589971</v>
      </c>
      <c r="L287" s="216" t="s">
        <v>137</v>
      </c>
      <c r="M287" s="173" t="s">
        <v>38</v>
      </c>
      <c r="N287" s="217" t="s">
        <v>44</v>
      </c>
      <c r="O287" s="218" t="s">
        <v>666</v>
      </c>
      <c r="P287" s="217"/>
      <c r="Q287" s="217"/>
      <c r="R287" s="217"/>
      <c r="S287" s="217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</row>
    <row r="288" ht="22.5" customHeight="1">
      <c r="A288" s="157" t="s">
        <v>69</v>
      </c>
      <c r="B288" s="158" t="s">
        <v>48</v>
      </c>
      <c r="C288" s="158">
        <v>2.0294499E7</v>
      </c>
      <c r="D288" s="158" t="s">
        <v>667</v>
      </c>
      <c r="E288" s="159">
        <v>46038.0</v>
      </c>
      <c r="F288" s="160" t="s">
        <v>51</v>
      </c>
      <c r="G288" s="158" t="s">
        <v>52</v>
      </c>
      <c r="H288" s="114">
        <v>39300.0</v>
      </c>
      <c r="I288" s="114">
        <v>6275.0</v>
      </c>
      <c r="J288" s="99">
        <v>0.0</v>
      </c>
      <c r="K288" s="219">
        <v>43230.0</v>
      </c>
      <c r="L288" s="173" t="s">
        <v>137</v>
      </c>
      <c r="M288" s="173" t="s">
        <v>38</v>
      </c>
      <c r="N288" s="61" t="s">
        <v>44</v>
      </c>
      <c r="O288" s="61" t="s">
        <v>668</v>
      </c>
      <c r="P288" s="207" t="s">
        <v>669</v>
      </c>
      <c r="Q288" s="61"/>
      <c r="R288" s="61"/>
      <c r="S288" s="61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</row>
    <row r="289" ht="22.5" customHeight="1">
      <c r="A289" s="220" t="s">
        <v>69</v>
      </c>
      <c r="B289" s="221" t="s">
        <v>48</v>
      </c>
      <c r="C289" s="221"/>
      <c r="D289" s="221" t="s">
        <v>670</v>
      </c>
      <c r="E289" s="222">
        <v>46038.0</v>
      </c>
      <c r="F289" s="223" t="s">
        <v>51</v>
      </c>
      <c r="G289" s="221" t="s">
        <v>52</v>
      </c>
      <c r="H289" s="224">
        <f t="shared" ref="H289:H293" si="64">K289/1.19</f>
        <v>436974.7899</v>
      </c>
      <c r="I289" s="224">
        <f t="shared" ref="I289:I293" si="65">H289*19%</f>
        <v>83025.21008</v>
      </c>
      <c r="J289" s="225">
        <v>0.0</v>
      </c>
      <c r="K289" s="193">
        <v>520000.0</v>
      </c>
      <c r="L289" s="226" t="s">
        <v>77</v>
      </c>
      <c r="M289" s="115" t="s">
        <v>37</v>
      </c>
      <c r="N289" s="227" t="s">
        <v>44</v>
      </c>
      <c r="O289" s="227" t="s">
        <v>671</v>
      </c>
      <c r="P289" s="228" t="s">
        <v>672</v>
      </c>
      <c r="Q289" s="227"/>
      <c r="R289" s="227"/>
      <c r="S289" s="227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</row>
    <row r="290" ht="22.5" customHeight="1">
      <c r="A290" s="157" t="s">
        <v>69</v>
      </c>
      <c r="B290" s="158" t="s">
        <v>48</v>
      </c>
      <c r="C290" s="158"/>
      <c r="D290" s="158" t="s">
        <v>670</v>
      </c>
      <c r="E290" s="159">
        <v>46038.0</v>
      </c>
      <c r="F290" s="160" t="s">
        <v>51</v>
      </c>
      <c r="G290" s="158" t="s">
        <v>52</v>
      </c>
      <c r="H290" s="224">
        <f t="shared" si="64"/>
        <v>8403.361345</v>
      </c>
      <c r="I290" s="224">
        <f t="shared" si="65"/>
        <v>1596.638655</v>
      </c>
      <c r="J290" s="225">
        <v>0.0</v>
      </c>
      <c r="K290" s="163">
        <v>10000.0</v>
      </c>
      <c r="L290" s="115" t="s">
        <v>77</v>
      </c>
      <c r="M290" s="115" t="s">
        <v>37</v>
      </c>
      <c r="N290" s="61" t="s">
        <v>44</v>
      </c>
      <c r="O290" s="61" t="s">
        <v>673</v>
      </c>
      <c r="P290" s="207" t="s">
        <v>674</v>
      </c>
      <c r="Q290" s="61"/>
      <c r="R290" s="61"/>
      <c r="S290" s="61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</row>
    <row r="291" ht="22.5" customHeight="1">
      <c r="A291" s="157" t="s">
        <v>69</v>
      </c>
      <c r="B291" s="158" t="s">
        <v>48</v>
      </c>
      <c r="C291" s="158"/>
      <c r="D291" s="158" t="s">
        <v>670</v>
      </c>
      <c r="E291" s="159">
        <v>46038.0</v>
      </c>
      <c r="F291" s="160" t="s">
        <v>51</v>
      </c>
      <c r="G291" s="158" t="s">
        <v>52</v>
      </c>
      <c r="H291" s="48">
        <f t="shared" si="64"/>
        <v>546218.4874</v>
      </c>
      <c r="I291" s="48">
        <f t="shared" si="65"/>
        <v>103781.5126</v>
      </c>
      <c r="J291" s="42">
        <v>0.0</v>
      </c>
      <c r="K291" s="163">
        <v>650000.0</v>
      </c>
      <c r="L291" s="115" t="s">
        <v>77</v>
      </c>
      <c r="M291" s="115" t="s">
        <v>37</v>
      </c>
      <c r="N291" s="61" t="s">
        <v>44</v>
      </c>
      <c r="O291" s="61" t="s">
        <v>673</v>
      </c>
      <c r="P291" s="207" t="s">
        <v>675</v>
      </c>
      <c r="Q291" s="61"/>
      <c r="R291" s="61"/>
      <c r="S291" s="61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</row>
    <row r="292" ht="22.5" customHeight="1">
      <c r="A292" s="157" t="s">
        <v>69</v>
      </c>
      <c r="B292" s="158" t="s">
        <v>48</v>
      </c>
      <c r="C292" s="158"/>
      <c r="D292" s="158" t="s">
        <v>670</v>
      </c>
      <c r="E292" s="159">
        <v>46038.0</v>
      </c>
      <c r="F292" s="160" t="s">
        <v>51</v>
      </c>
      <c r="G292" s="158" t="s">
        <v>52</v>
      </c>
      <c r="H292" s="48">
        <f t="shared" si="64"/>
        <v>252100.8403</v>
      </c>
      <c r="I292" s="48">
        <f t="shared" si="65"/>
        <v>47899.15966</v>
      </c>
      <c r="J292" s="42">
        <v>0.0</v>
      </c>
      <c r="K292" s="163">
        <v>300000.0</v>
      </c>
      <c r="L292" s="115" t="s">
        <v>77</v>
      </c>
      <c r="M292" s="115" t="s">
        <v>37</v>
      </c>
      <c r="N292" s="61" t="s">
        <v>44</v>
      </c>
      <c r="O292" s="61" t="s">
        <v>676</v>
      </c>
      <c r="P292" s="207" t="s">
        <v>677</v>
      </c>
      <c r="Q292" s="61"/>
      <c r="R292" s="61"/>
      <c r="S292" s="61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</row>
    <row r="293" ht="22.5" customHeight="1">
      <c r="A293" s="229" t="s">
        <v>69</v>
      </c>
      <c r="B293" s="211" t="s">
        <v>48</v>
      </c>
      <c r="C293" s="211"/>
      <c r="D293" s="211" t="s">
        <v>678</v>
      </c>
      <c r="E293" s="212">
        <v>46038.0</v>
      </c>
      <c r="F293" s="213" t="s">
        <v>51</v>
      </c>
      <c r="G293" s="211" t="s">
        <v>52</v>
      </c>
      <c r="H293" s="215">
        <f t="shared" si="64"/>
        <v>3445378.151</v>
      </c>
      <c r="I293" s="215">
        <f t="shared" si="65"/>
        <v>654621.8487</v>
      </c>
      <c r="J293" s="214">
        <v>0.0</v>
      </c>
      <c r="K293" s="184">
        <v>4100000.0</v>
      </c>
      <c r="L293" s="216" t="s">
        <v>137</v>
      </c>
      <c r="M293" s="173" t="s">
        <v>37</v>
      </c>
      <c r="N293" s="217" t="s">
        <v>44</v>
      </c>
      <c r="O293" s="217" t="s">
        <v>679</v>
      </c>
      <c r="P293" s="217"/>
      <c r="Q293" s="217"/>
      <c r="R293" s="217"/>
      <c r="S293" s="217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</row>
    <row r="294" ht="22.5" customHeight="1">
      <c r="A294" s="157" t="s">
        <v>148</v>
      </c>
      <c r="B294" s="158" t="s">
        <v>48</v>
      </c>
      <c r="C294" s="158">
        <v>2.0140822E7</v>
      </c>
      <c r="D294" s="158" t="s">
        <v>680</v>
      </c>
      <c r="E294" s="159">
        <v>46038.0</v>
      </c>
      <c r="F294" s="160" t="s">
        <v>51</v>
      </c>
      <c r="G294" s="158" t="s">
        <v>52</v>
      </c>
      <c r="H294" s="114">
        <v>17560.0</v>
      </c>
      <c r="I294" s="114">
        <v>3336.0</v>
      </c>
      <c r="J294" s="99">
        <v>0.0</v>
      </c>
      <c r="K294" s="219">
        <v>35000.0</v>
      </c>
      <c r="L294" s="115" t="s">
        <v>140</v>
      </c>
      <c r="M294" s="115" t="s">
        <v>37</v>
      </c>
      <c r="N294" s="61" t="s">
        <v>44</v>
      </c>
      <c r="O294" s="61" t="s">
        <v>261</v>
      </c>
      <c r="P294" s="207" t="s">
        <v>681</v>
      </c>
      <c r="Q294" s="230"/>
      <c r="R294" s="61"/>
      <c r="S294" s="61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</row>
    <row r="295" ht="22.5" customHeight="1">
      <c r="A295" s="220" t="s">
        <v>148</v>
      </c>
      <c r="B295" s="231" t="s">
        <v>48</v>
      </c>
      <c r="C295" s="231">
        <v>2.0140822E7</v>
      </c>
      <c r="D295" s="231" t="s">
        <v>682</v>
      </c>
      <c r="E295" s="232">
        <v>46038.0</v>
      </c>
      <c r="F295" s="233" t="s">
        <v>51</v>
      </c>
      <c r="G295" s="231" t="s">
        <v>52</v>
      </c>
      <c r="H295" s="224">
        <f>K295/1.19</f>
        <v>3697.478992</v>
      </c>
      <c r="I295" s="224">
        <v>703.0</v>
      </c>
      <c r="J295" s="225">
        <v>0.0</v>
      </c>
      <c r="K295" s="193">
        <v>4400.0</v>
      </c>
      <c r="L295" s="226" t="s">
        <v>140</v>
      </c>
      <c r="M295" s="115" t="s">
        <v>37</v>
      </c>
      <c r="N295" s="227" t="s">
        <v>44</v>
      </c>
      <c r="O295" s="227" t="s">
        <v>683</v>
      </c>
      <c r="P295" s="228" t="s">
        <v>684</v>
      </c>
      <c r="Q295" s="227"/>
      <c r="R295" s="230"/>
      <c r="S295" s="227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</row>
    <row r="296" ht="22.5" customHeight="1">
      <c r="A296" s="157" t="s">
        <v>148</v>
      </c>
      <c r="B296" s="158" t="s">
        <v>48</v>
      </c>
      <c r="C296" s="158">
        <v>7.8886193E7</v>
      </c>
      <c r="D296" s="158" t="s">
        <v>685</v>
      </c>
      <c r="E296" s="159">
        <v>46038.0</v>
      </c>
      <c r="F296" s="160" t="s">
        <v>51</v>
      </c>
      <c r="G296" s="158" t="s">
        <v>52</v>
      </c>
      <c r="H296" s="48">
        <v>3235.0</v>
      </c>
      <c r="I296" s="48">
        <v>615.0</v>
      </c>
      <c r="J296" s="42">
        <v>0.0</v>
      </c>
      <c r="K296" s="163">
        <v>3850.0</v>
      </c>
      <c r="L296" s="115" t="s">
        <v>140</v>
      </c>
      <c r="M296" s="115" t="s">
        <v>37</v>
      </c>
      <c r="N296" s="61" t="s">
        <v>44</v>
      </c>
      <c r="O296" s="61" t="s">
        <v>686</v>
      </c>
      <c r="P296" s="207" t="s">
        <v>687</v>
      </c>
      <c r="Q296" s="61"/>
      <c r="R296" s="61"/>
      <c r="S296" s="61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</row>
    <row r="297" ht="22.5" customHeight="1">
      <c r="A297" s="234" t="s">
        <v>177</v>
      </c>
      <c r="B297" s="210" t="s">
        <v>48</v>
      </c>
      <c r="C297" s="235" t="s">
        <v>688</v>
      </c>
      <c r="D297" s="210" t="s">
        <v>689</v>
      </c>
      <c r="E297" s="236">
        <v>46037.0</v>
      </c>
      <c r="F297" s="237" t="s">
        <v>51</v>
      </c>
      <c r="G297" s="210" t="s">
        <v>52</v>
      </c>
      <c r="H297" s="215">
        <f>K297-I297</f>
        <v>14102000</v>
      </c>
      <c r="I297" s="215">
        <v>2679380.0</v>
      </c>
      <c r="J297" s="214">
        <v>0.0</v>
      </c>
      <c r="K297" s="184">
        <v>1.678138E7</v>
      </c>
      <c r="L297" s="216" t="s">
        <v>137</v>
      </c>
      <c r="M297" s="173" t="s">
        <v>35</v>
      </c>
      <c r="N297" s="217" t="s">
        <v>44</v>
      </c>
      <c r="O297" s="217" t="s">
        <v>689</v>
      </c>
      <c r="P297" s="218" t="s">
        <v>690</v>
      </c>
      <c r="Q297" s="218" t="s">
        <v>691</v>
      </c>
      <c r="R297" s="217"/>
      <c r="S297" s="217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</row>
    <row r="298" ht="22.5" customHeight="1">
      <c r="A298" s="157" t="s">
        <v>177</v>
      </c>
      <c r="B298" s="158" t="s">
        <v>48</v>
      </c>
      <c r="C298" s="238">
        <v>2.1011282E7</v>
      </c>
      <c r="D298" s="158" t="s">
        <v>692</v>
      </c>
      <c r="E298" s="159">
        <v>46036.0</v>
      </c>
      <c r="F298" s="160" t="s">
        <v>51</v>
      </c>
      <c r="G298" s="158" t="s">
        <v>52</v>
      </c>
      <c r="H298" s="48">
        <v>14781.0</v>
      </c>
      <c r="I298" s="48">
        <v>2808.0</v>
      </c>
      <c r="J298" s="42">
        <v>0.0</v>
      </c>
      <c r="K298" s="114">
        <v>17589.0</v>
      </c>
      <c r="L298" s="115" t="s">
        <v>77</v>
      </c>
      <c r="M298" s="115" t="s">
        <v>37</v>
      </c>
      <c r="N298" s="61" t="s">
        <v>46</v>
      </c>
      <c r="O298" s="61" t="s">
        <v>693</v>
      </c>
      <c r="P298" s="207" t="s">
        <v>694</v>
      </c>
      <c r="Q298" s="61"/>
      <c r="R298" s="61"/>
      <c r="S298" s="61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</row>
    <row r="299" ht="15.75" customHeight="1">
      <c r="A299" s="157" t="s">
        <v>177</v>
      </c>
      <c r="B299" s="158" t="s">
        <v>48</v>
      </c>
      <c r="C299" s="238">
        <v>44.0</v>
      </c>
      <c r="D299" s="158" t="s">
        <v>689</v>
      </c>
      <c r="E299" s="159">
        <v>46036.0</v>
      </c>
      <c r="F299" s="160" t="s">
        <v>51</v>
      </c>
      <c r="G299" s="158" t="s">
        <v>52</v>
      </c>
      <c r="H299" s="48">
        <v>741000.0</v>
      </c>
      <c r="I299" s="48">
        <v>140790.0</v>
      </c>
      <c r="J299" s="42">
        <v>0.0</v>
      </c>
      <c r="K299" s="163">
        <v>881790.0</v>
      </c>
      <c r="L299" s="239" t="s">
        <v>83</v>
      </c>
      <c r="M299" s="240" t="s">
        <v>35</v>
      </c>
      <c r="N299" s="61" t="s">
        <v>44</v>
      </c>
      <c r="O299" s="61" t="s">
        <v>689</v>
      </c>
      <c r="P299" s="241" t="s">
        <v>695</v>
      </c>
      <c r="Q299" s="61"/>
      <c r="R299" s="61"/>
      <c r="S299" s="61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</row>
    <row r="300" ht="22.5" customHeight="1">
      <c r="A300" s="157" t="s">
        <v>69</v>
      </c>
      <c r="B300" s="158" t="s">
        <v>48</v>
      </c>
      <c r="C300" s="158"/>
      <c r="D300" s="158" t="s">
        <v>696</v>
      </c>
      <c r="E300" s="159">
        <v>46035.0</v>
      </c>
      <c r="F300" s="160" t="s">
        <v>51</v>
      </c>
      <c r="G300" s="158" t="s">
        <v>52</v>
      </c>
      <c r="H300" s="48">
        <f t="shared" ref="H300:H301" si="66">K300/1.19</f>
        <v>29189.91597</v>
      </c>
      <c r="I300" s="48">
        <f t="shared" ref="I300:I301" si="67">H300*19%</f>
        <v>5546.084034</v>
      </c>
      <c r="J300" s="42">
        <v>0.0</v>
      </c>
      <c r="K300" s="163">
        <v>34736.0</v>
      </c>
      <c r="L300" s="115" t="s">
        <v>77</v>
      </c>
      <c r="M300" s="115" t="s">
        <v>37</v>
      </c>
      <c r="N300" s="61" t="s">
        <v>46</v>
      </c>
      <c r="O300" s="61" t="s">
        <v>697</v>
      </c>
      <c r="P300" s="207" t="s">
        <v>698</v>
      </c>
      <c r="Q300" s="61"/>
      <c r="R300" s="61"/>
      <c r="S300" s="61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</row>
    <row r="301" ht="22.5" customHeight="1">
      <c r="A301" s="157" t="s">
        <v>69</v>
      </c>
      <c r="B301" s="158" t="s">
        <v>48</v>
      </c>
      <c r="C301" s="158"/>
      <c r="D301" s="158" t="s">
        <v>464</v>
      </c>
      <c r="E301" s="159">
        <v>46034.0</v>
      </c>
      <c r="F301" s="160" t="s">
        <v>51</v>
      </c>
      <c r="G301" s="158" t="s">
        <v>52</v>
      </c>
      <c r="H301" s="48">
        <f t="shared" si="66"/>
        <v>33384.87395</v>
      </c>
      <c r="I301" s="48">
        <f t="shared" si="67"/>
        <v>6343.12605</v>
      </c>
      <c r="J301" s="42">
        <v>0.0</v>
      </c>
      <c r="K301" s="163">
        <v>39728.0</v>
      </c>
      <c r="L301" s="115" t="s">
        <v>77</v>
      </c>
      <c r="M301" s="115" t="s">
        <v>37</v>
      </c>
      <c r="N301" s="61" t="s">
        <v>46</v>
      </c>
      <c r="O301" s="61" t="s">
        <v>699</v>
      </c>
      <c r="P301" s="61"/>
      <c r="Q301" s="61"/>
      <c r="R301" s="61"/>
      <c r="S301" s="61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</row>
    <row r="302" ht="22.5" customHeight="1">
      <c r="A302" s="157" t="s">
        <v>177</v>
      </c>
      <c r="B302" s="158" t="s">
        <v>48</v>
      </c>
      <c r="C302" s="124">
        <v>2.0919388E7</v>
      </c>
      <c r="D302" s="158" t="s">
        <v>482</v>
      </c>
      <c r="E302" s="159">
        <v>46034.0</v>
      </c>
      <c r="F302" s="160" t="s">
        <v>51</v>
      </c>
      <c r="G302" s="158" t="s">
        <v>52</v>
      </c>
      <c r="H302" s="114">
        <v>14747.0</v>
      </c>
      <c r="I302" s="114">
        <v>28802.0</v>
      </c>
      <c r="J302" s="99">
        <v>0.0</v>
      </c>
      <c r="K302" s="219">
        <v>22479.0</v>
      </c>
      <c r="L302" s="115" t="s">
        <v>140</v>
      </c>
      <c r="M302" s="115" t="s">
        <v>37</v>
      </c>
      <c r="N302" s="61" t="s">
        <v>46</v>
      </c>
      <c r="O302" s="61" t="s">
        <v>693</v>
      </c>
      <c r="P302" s="207" t="s">
        <v>700</v>
      </c>
      <c r="Q302" s="207" t="s">
        <v>701</v>
      </c>
      <c r="R302" s="61"/>
      <c r="S302" s="61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</row>
    <row r="303" ht="22.5" customHeight="1">
      <c r="A303" s="123" t="s">
        <v>40</v>
      </c>
      <c r="B303" s="158" t="s">
        <v>48</v>
      </c>
      <c r="C303" s="158">
        <v>183.0</v>
      </c>
      <c r="D303" s="158" t="s">
        <v>702</v>
      </c>
      <c r="E303" s="159">
        <v>46034.0</v>
      </c>
      <c r="F303" s="160" t="s">
        <v>51</v>
      </c>
      <c r="G303" s="158" t="s">
        <v>52</v>
      </c>
      <c r="H303" s="48">
        <v>1815929.0</v>
      </c>
      <c r="I303" s="42">
        <v>0.0</v>
      </c>
      <c r="J303" s="48">
        <v>276929.0</v>
      </c>
      <c r="K303" s="163">
        <v>1539000.0</v>
      </c>
      <c r="L303" s="173" t="s">
        <v>137</v>
      </c>
      <c r="M303" s="173" t="s">
        <v>38</v>
      </c>
      <c r="N303" s="61" t="s">
        <v>44</v>
      </c>
      <c r="O303" s="61" t="s">
        <v>703</v>
      </c>
      <c r="P303" s="207" t="s">
        <v>704</v>
      </c>
      <c r="Q303" s="61"/>
      <c r="R303" s="61"/>
      <c r="S303" s="61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</row>
    <row r="304" ht="22.5" customHeight="1">
      <c r="A304" s="123" t="s">
        <v>40</v>
      </c>
      <c r="B304" s="158" t="s">
        <v>48</v>
      </c>
      <c r="C304" s="158">
        <v>70.0</v>
      </c>
      <c r="D304" s="158" t="s">
        <v>705</v>
      </c>
      <c r="E304" s="159">
        <v>46034.0</v>
      </c>
      <c r="F304" s="160" t="s">
        <v>51</v>
      </c>
      <c r="G304" s="158" t="s">
        <v>52</v>
      </c>
      <c r="H304" s="48">
        <v>1815929.0</v>
      </c>
      <c r="I304" s="42">
        <v>0.0</v>
      </c>
      <c r="J304" s="48">
        <v>276929.0</v>
      </c>
      <c r="K304" s="163">
        <f>H304-J304</f>
        <v>1539000</v>
      </c>
      <c r="L304" s="173" t="s">
        <v>137</v>
      </c>
      <c r="M304" s="173" t="s">
        <v>38</v>
      </c>
      <c r="N304" s="61" t="s">
        <v>44</v>
      </c>
      <c r="O304" s="31" t="s">
        <v>522</v>
      </c>
      <c r="P304" s="207" t="s">
        <v>706</v>
      </c>
      <c r="Q304" s="61"/>
      <c r="R304" s="61"/>
      <c r="S304" s="61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</row>
    <row r="305" ht="22.5" customHeight="1">
      <c r="A305" s="157" t="s">
        <v>69</v>
      </c>
      <c r="B305" s="158" t="s">
        <v>48</v>
      </c>
      <c r="C305" s="158"/>
      <c r="D305" s="158" t="s">
        <v>707</v>
      </c>
      <c r="E305" s="159">
        <v>46034.0</v>
      </c>
      <c r="F305" s="160" t="s">
        <v>51</v>
      </c>
      <c r="G305" s="158" t="s">
        <v>52</v>
      </c>
      <c r="H305" s="99">
        <v>0.0</v>
      </c>
      <c r="I305" s="114">
        <v>402597.0</v>
      </c>
      <c r="J305" s="114">
        <v>126960.0</v>
      </c>
      <c r="K305" s="219">
        <f>I305+J305</f>
        <v>529557</v>
      </c>
      <c r="L305" s="115" t="s">
        <v>77</v>
      </c>
      <c r="M305" s="115" t="s">
        <v>37</v>
      </c>
      <c r="N305" s="61" t="s">
        <v>44</v>
      </c>
      <c r="O305" s="61" t="s">
        <v>708</v>
      </c>
      <c r="P305" s="207" t="s">
        <v>709</v>
      </c>
      <c r="Q305" s="61"/>
      <c r="R305" s="61"/>
      <c r="S305" s="61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</row>
    <row r="306" ht="22.5" customHeight="1">
      <c r="A306" s="157" t="s">
        <v>148</v>
      </c>
      <c r="B306" s="158" t="s">
        <v>48</v>
      </c>
      <c r="C306" s="158">
        <v>2.3664107E7</v>
      </c>
      <c r="D306" s="158" t="s">
        <v>482</v>
      </c>
      <c r="E306" s="159">
        <v>46034.0</v>
      </c>
      <c r="F306" s="160" t="s">
        <v>51</v>
      </c>
      <c r="G306" s="158" t="s">
        <v>52</v>
      </c>
      <c r="H306" s="48">
        <f t="shared" ref="H306:H309" si="68">K306/1.19</f>
        <v>7563.02521</v>
      </c>
      <c r="I306" s="48">
        <f t="shared" ref="I306:I309" si="69">H306*19%</f>
        <v>1436.97479</v>
      </c>
      <c r="J306" s="42">
        <v>0.0</v>
      </c>
      <c r="K306" s="163">
        <v>9000.0</v>
      </c>
      <c r="L306" s="115" t="s">
        <v>77</v>
      </c>
      <c r="M306" s="115" t="s">
        <v>37</v>
      </c>
      <c r="N306" s="61" t="s">
        <v>44</v>
      </c>
      <c r="O306" s="61" t="s">
        <v>710</v>
      </c>
      <c r="P306" s="207" t="s">
        <v>711</v>
      </c>
      <c r="Q306" s="61"/>
      <c r="R306" s="61"/>
      <c r="S306" s="61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</row>
    <row r="307" ht="22.5" customHeight="1">
      <c r="A307" s="157" t="s">
        <v>69</v>
      </c>
      <c r="B307" s="158" t="s">
        <v>48</v>
      </c>
      <c r="C307" s="158"/>
      <c r="D307" s="165" t="s">
        <v>596</v>
      </c>
      <c r="E307" s="159">
        <v>46034.0</v>
      </c>
      <c r="F307" s="160" t="s">
        <v>51</v>
      </c>
      <c r="G307" s="158" t="s">
        <v>52</v>
      </c>
      <c r="H307" s="48">
        <f t="shared" si="68"/>
        <v>3361344.538</v>
      </c>
      <c r="I307" s="48">
        <f t="shared" si="69"/>
        <v>638655.4622</v>
      </c>
      <c r="J307" s="42">
        <v>0.0</v>
      </c>
      <c r="K307" s="163">
        <v>4000000.0</v>
      </c>
      <c r="L307" s="173" t="s">
        <v>137</v>
      </c>
      <c r="M307" s="51" t="s">
        <v>35</v>
      </c>
      <c r="N307" s="61" t="s">
        <v>44</v>
      </c>
      <c r="O307" s="61" t="s">
        <v>712</v>
      </c>
      <c r="P307" s="61"/>
      <c r="Q307" s="61"/>
      <c r="R307" s="61"/>
      <c r="S307" s="61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</row>
    <row r="308" ht="22.5" customHeight="1">
      <c r="A308" s="157" t="s">
        <v>69</v>
      </c>
      <c r="B308" s="124" t="s">
        <v>48</v>
      </c>
      <c r="C308" s="158">
        <v>8.263112524E9</v>
      </c>
      <c r="D308" s="176" t="s">
        <v>713</v>
      </c>
      <c r="E308" s="132">
        <v>46033.0</v>
      </c>
      <c r="F308" s="160" t="s">
        <v>51</v>
      </c>
      <c r="G308" s="158" t="s">
        <v>52</v>
      </c>
      <c r="H308" s="48">
        <f t="shared" si="68"/>
        <v>108932.7731</v>
      </c>
      <c r="I308" s="48">
        <f t="shared" si="69"/>
        <v>20697.22689</v>
      </c>
      <c r="J308" s="42">
        <v>0.0</v>
      </c>
      <c r="K308" s="114">
        <v>129630.0</v>
      </c>
      <c r="L308" s="115" t="s">
        <v>77</v>
      </c>
      <c r="M308" s="115" t="s">
        <v>37</v>
      </c>
      <c r="N308" s="61" t="s">
        <v>46</v>
      </c>
      <c r="O308" s="61" t="s">
        <v>714</v>
      </c>
      <c r="P308" s="161" t="s">
        <v>715</v>
      </c>
      <c r="Q308" s="61"/>
      <c r="R308" s="61"/>
      <c r="S308" s="61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</row>
    <row r="309" ht="22.5" customHeight="1">
      <c r="A309" s="157" t="s">
        <v>310</v>
      </c>
      <c r="B309" s="124" t="s">
        <v>48</v>
      </c>
      <c r="C309" s="158" t="s">
        <v>716</v>
      </c>
      <c r="D309" s="131" t="s">
        <v>464</v>
      </c>
      <c r="E309" s="132">
        <v>46033.0</v>
      </c>
      <c r="F309" s="160" t="s">
        <v>51</v>
      </c>
      <c r="G309" s="158" t="s">
        <v>52</v>
      </c>
      <c r="H309" s="48">
        <f t="shared" si="68"/>
        <v>33366.38655</v>
      </c>
      <c r="I309" s="48">
        <f t="shared" si="69"/>
        <v>6339.613445</v>
      </c>
      <c r="J309" s="42">
        <v>0.0</v>
      </c>
      <c r="K309" s="99">
        <v>39706.0</v>
      </c>
      <c r="L309" s="115" t="s">
        <v>77</v>
      </c>
      <c r="M309" s="115" t="s">
        <v>37</v>
      </c>
      <c r="N309" s="61" t="s">
        <v>46</v>
      </c>
      <c r="O309" s="61" t="s">
        <v>717</v>
      </c>
      <c r="P309" s="161" t="s">
        <v>718</v>
      </c>
      <c r="Q309" s="61"/>
      <c r="R309" s="61"/>
      <c r="S309" s="61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</row>
    <row r="310" ht="22.5" customHeight="1">
      <c r="A310" s="157" t="s">
        <v>310</v>
      </c>
      <c r="B310" s="124" t="s">
        <v>48</v>
      </c>
      <c r="C310" s="242" t="s">
        <v>719</v>
      </c>
      <c r="D310" s="131" t="s">
        <v>533</v>
      </c>
      <c r="E310" s="132">
        <v>46033.0</v>
      </c>
      <c r="F310" s="160" t="s">
        <v>51</v>
      </c>
      <c r="G310" s="158" t="s">
        <v>52</v>
      </c>
      <c r="H310" s="48">
        <v>2391993.0</v>
      </c>
      <c r="I310" s="48">
        <v>561085.0</v>
      </c>
      <c r="J310" s="39">
        <v>0.0</v>
      </c>
      <c r="K310" s="114">
        <v>2953079.0</v>
      </c>
      <c r="L310" s="115" t="s">
        <v>77</v>
      </c>
      <c r="M310" s="115" t="s">
        <v>37</v>
      </c>
      <c r="N310" s="61" t="s">
        <v>44</v>
      </c>
      <c r="O310" s="61"/>
      <c r="P310" s="161" t="s">
        <v>719</v>
      </c>
      <c r="Q310" s="61"/>
      <c r="R310" s="61"/>
      <c r="S310" s="61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</row>
    <row r="311" ht="22.5" customHeight="1">
      <c r="A311" s="157" t="s">
        <v>310</v>
      </c>
      <c r="B311" s="124" t="s">
        <v>48</v>
      </c>
      <c r="C311" s="243" t="s">
        <v>720</v>
      </c>
      <c r="D311" s="158" t="s">
        <v>533</v>
      </c>
      <c r="E311" s="132">
        <v>46033.0</v>
      </c>
      <c r="F311" s="160" t="s">
        <v>51</v>
      </c>
      <c r="G311" s="158" t="s">
        <v>52</v>
      </c>
      <c r="H311" s="48">
        <v>862169.0</v>
      </c>
      <c r="I311" s="48">
        <v>202237.0</v>
      </c>
      <c r="J311" s="39">
        <v>0.0</v>
      </c>
      <c r="K311" s="99">
        <f>H311+I311</f>
        <v>1064406</v>
      </c>
      <c r="L311" s="115" t="s">
        <v>77</v>
      </c>
      <c r="M311" s="115" t="s">
        <v>37</v>
      </c>
      <c r="N311" s="61" t="s">
        <v>44</v>
      </c>
      <c r="O311" s="61"/>
      <c r="P311" s="161" t="s">
        <v>720</v>
      </c>
      <c r="Q311" s="61"/>
      <c r="R311" s="61"/>
      <c r="S311" s="61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</row>
    <row r="312" ht="22.5" customHeight="1">
      <c r="A312" s="157" t="s">
        <v>310</v>
      </c>
      <c r="B312" s="124" t="s">
        <v>48</v>
      </c>
      <c r="C312" s="158"/>
      <c r="D312" s="244" t="s">
        <v>596</v>
      </c>
      <c r="E312" s="132">
        <v>46033.0</v>
      </c>
      <c r="F312" s="160" t="s">
        <v>51</v>
      </c>
      <c r="G312" s="158" t="s">
        <v>52</v>
      </c>
      <c r="H312" s="48">
        <f t="shared" ref="H312:H316" si="70">K312/1.19</f>
        <v>2481578.992</v>
      </c>
      <c r="I312" s="48">
        <f t="shared" ref="I312:I316" si="71">H312*19%</f>
        <v>471500.0084</v>
      </c>
      <c r="J312" s="42">
        <v>0.0</v>
      </c>
      <c r="K312" s="114">
        <v>2953079.0</v>
      </c>
      <c r="L312" s="115" t="s">
        <v>77</v>
      </c>
      <c r="M312" s="115" t="s">
        <v>36</v>
      </c>
      <c r="N312" s="61" t="s">
        <v>44</v>
      </c>
      <c r="O312" s="61"/>
      <c r="P312" s="61"/>
      <c r="Q312" s="61"/>
      <c r="R312" s="61"/>
      <c r="S312" s="61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</row>
    <row r="313" ht="22.5" customHeight="1">
      <c r="A313" s="157" t="s">
        <v>310</v>
      </c>
      <c r="B313" s="124" t="s">
        <v>48</v>
      </c>
      <c r="C313" s="158" t="s">
        <v>47</v>
      </c>
      <c r="D313" s="158" t="s">
        <v>597</v>
      </c>
      <c r="E313" s="132">
        <v>46033.0</v>
      </c>
      <c r="F313" s="160" t="s">
        <v>51</v>
      </c>
      <c r="G313" s="158" t="s">
        <v>52</v>
      </c>
      <c r="H313" s="48">
        <f t="shared" si="70"/>
        <v>894459.6639</v>
      </c>
      <c r="I313" s="48">
        <f t="shared" si="71"/>
        <v>169947.3361</v>
      </c>
      <c r="J313" s="42">
        <v>0.0</v>
      </c>
      <c r="K313" s="114">
        <v>1064407.0</v>
      </c>
      <c r="L313" s="115" t="s">
        <v>77</v>
      </c>
      <c r="M313" s="115" t="s">
        <v>36</v>
      </c>
      <c r="N313" s="61" t="s">
        <v>44</v>
      </c>
      <c r="O313" s="61"/>
      <c r="P313" s="61"/>
      <c r="Q313" s="61"/>
      <c r="R313" s="61"/>
      <c r="S313" s="61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</row>
    <row r="314" ht="22.5" customHeight="1">
      <c r="A314" s="157"/>
      <c r="B314" s="165" t="s">
        <v>71</v>
      </c>
      <c r="C314" s="165" t="s">
        <v>721</v>
      </c>
      <c r="D314" s="165" t="s">
        <v>599</v>
      </c>
      <c r="E314" s="201">
        <v>46031.0</v>
      </c>
      <c r="F314" s="165" t="s">
        <v>212</v>
      </c>
      <c r="G314" s="165" t="s">
        <v>187</v>
      </c>
      <c r="H314" s="48">
        <f t="shared" si="70"/>
        <v>1504.201681</v>
      </c>
      <c r="I314" s="48">
        <f t="shared" si="71"/>
        <v>285.7983193</v>
      </c>
      <c r="J314" s="42">
        <v>0.0</v>
      </c>
      <c r="K314" s="142">
        <v>1790.0</v>
      </c>
      <c r="L314" s="115" t="s">
        <v>77</v>
      </c>
      <c r="M314" s="51" t="s">
        <v>37</v>
      </c>
      <c r="N314" s="31" t="s">
        <v>46</v>
      </c>
      <c r="O314" s="31" t="s">
        <v>599</v>
      </c>
      <c r="P314" s="136" t="s">
        <v>660</v>
      </c>
      <c r="Q314" s="136" t="s">
        <v>661</v>
      </c>
      <c r="R314" s="61"/>
      <c r="S314" s="61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</row>
    <row r="315" ht="22.5" customHeight="1">
      <c r="A315" s="157" t="s">
        <v>177</v>
      </c>
      <c r="B315" s="158" t="s">
        <v>48</v>
      </c>
      <c r="C315" s="158">
        <v>1.44220357E8</v>
      </c>
      <c r="D315" s="158" t="s">
        <v>722</v>
      </c>
      <c r="E315" s="159">
        <v>46031.0</v>
      </c>
      <c r="F315" s="160" t="s">
        <v>723</v>
      </c>
      <c r="G315" s="158" t="s">
        <v>52</v>
      </c>
      <c r="H315" s="48">
        <f t="shared" si="70"/>
        <v>8394.957983</v>
      </c>
      <c r="I315" s="48">
        <f t="shared" si="71"/>
        <v>1595.042017</v>
      </c>
      <c r="J315" s="42">
        <v>0.0</v>
      </c>
      <c r="K315" s="114">
        <v>9990.0</v>
      </c>
      <c r="L315" s="115" t="s">
        <v>77</v>
      </c>
      <c r="M315" s="115" t="s">
        <v>37</v>
      </c>
      <c r="N315" s="61" t="s">
        <v>44</v>
      </c>
      <c r="O315" s="61" t="s">
        <v>724</v>
      </c>
      <c r="P315" s="207" t="s">
        <v>725</v>
      </c>
      <c r="Q315" s="61"/>
      <c r="R315" s="61"/>
      <c r="S315" s="61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</row>
    <row r="316" ht="22.5" customHeight="1">
      <c r="A316" s="157" t="s">
        <v>69</v>
      </c>
      <c r="B316" s="158" t="s">
        <v>48</v>
      </c>
      <c r="C316" s="158" t="s">
        <v>726</v>
      </c>
      <c r="D316" s="61" t="s">
        <v>727</v>
      </c>
      <c r="E316" s="159">
        <v>46029.0</v>
      </c>
      <c r="F316" s="160" t="s">
        <v>51</v>
      </c>
      <c r="G316" s="158" t="s">
        <v>52</v>
      </c>
      <c r="H316" s="48">
        <f t="shared" si="70"/>
        <v>359663.8655</v>
      </c>
      <c r="I316" s="48">
        <f t="shared" si="71"/>
        <v>68336.13445</v>
      </c>
      <c r="J316" s="42">
        <v>0.0</v>
      </c>
      <c r="K316" s="163">
        <v>428000.0</v>
      </c>
      <c r="L316" s="115" t="s">
        <v>77</v>
      </c>
      <c r="M316" s="115" t="s">
        <v>37</v>
      </c>
      <c r="N316" s="61" t="s">
        <v>44</v>
      </c>
      <c r="O316" s="61" t="s">
        <v>728</v>
      </c>
      <c r="P316" s="161" t="s">
        <v>729</v>
      </c>
      <c r="Q316" s="61"/>
      <c r="R316" s="61"/>
      <c r="S316" s="61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</row>
    <row r="317" ht="22.5" customHeight="1">
      <c r="A317" s="157" t="s">
        <v>177</v>
      </c>
      <c r="B317" s="158" t="s">
        <v>48</v>
      </c>
      <c r="C317" s="124" t="s">
        <v>730</v>
      </c>
      <c r="D317" s="158" t="s">
        <v>731</v>
      </c>
      <c r="E317" s="159">
        <v>46029.0</v>
      </c>
      <c r="F317" s="160" t="s">
        <v>51</v>
      </c>
      <c r="G317" s="158" t="s">
        <v>52</v>
      </c>
      <c r="H317" s="48">
        <f>165000+165000</f>
        <v>330000</v>
      </c>
      <c r="I317" s="48">
        <v>62700.0</v>
      </c>
      <c r="J317" s="42">
        <v>0.0</v>
      </c>
      <c r="K317" s="163">
        <v>392700.0</v>
      </c>
      <c r="L317" s="173" t="s">
        <v>70</v>
      </c>
      <c r="M317" s="173" t="s">
        <v>35</v>
      </c>
      <c r="N317" s="61" t="s">
        <v>44</v>
      </c>
      <c r="O317" s="61" t="s">
        <v>732</v>
      </c>
      <c r="P317" s="207" t="s">
        <v>733</v>
      </c>
      <c r="Q317" s="207" t="s">
        <v>734</v>
      </c>
      <c r="R317" s="61"/>
      <c r="S317" s="61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</row>
    <row r="318" ht="22.5" customHeight="1">
      <c r="A318" s="157" t="s">
        <v>177</v>
      </c>
      <c r="B318" s="158" t="s">
        <v>48</v>
      </c>
      <c r="C318" s="124">
        <v>1.3010111E7</v>
      </c>
      <c r="D318" s="158" t="s">
        <v>653</v>
      </c>
      <c r="E318" s="159">
        <v>46028.0</v>
      </c>
      <c r="F318" s="160" t="s">
        <v>51</v>
      </c>
      <c r="G318" s="158" t="s">
        <v>52</v>
      </c>
      <c r="H318" s="48">
        <v>9288.0</v>
      </c>
      <c r="I318" s="48">
        <v>1765.0</v>
      </c>
      <c r="J318" s="42">
        <v>0.0</v>
      </c>
      <c r="K318" s="163">
        <v>11053.0</v>
      </c>
      <c r="L318" s="173" t="s">
        <v>137</v>
      </c>
      <c r="M318" s="173" t="s">
        <v>38</v>
      </c>
      <c r="N318" s="61" t="s">
        <v>44</v>
      </c>
      <c r="O318" s="61" t="s">
        <v>735</v>
      </c>
      <c r="P318" s="207" t="s">
        <v>736</v>
      </c>
      <c r="Q318" s="61"/>
      <c r="R318" s="61"/>
      <c r="S318" s="61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</row>
    <row r="319" ht="22.5" customHeight="1">
      <c r="A319" s="138" t="s">
        <v>310</v>
      </c>
      <c r="B319" s="154" t="s">
        <v>48</v>
      </c>
      <c r="C319" s="143" t="s">
        <v>47</v>
      </c>
      <c r="D319" s="245" t="s">
        <v>737</v>
      </c>
      <c r="E319" s="162">
        <v>46028.0</v>
      </c>
      <c r="F319" s="156" t="s">
        <v>51</v>
      </c>
      <c r="G319" s="154" t="s">
        <v>52</v>
      </c>
      <c r="H319" s="48">
        <f t="shared" ref="H319:H321" si="72">K319/1.19</f>
        <v>1680672.269</v>
      </c>
      <c r="I319" s="48">
        <f t="shared" ref="I319:I321" si="73">H319*19%</f>
        <v>319327.7311</v>
      </c>
      <c r="J319" s="42">
        <v>0.0</v>
      </c>
      <c r="K319" s="39">
        <v>2000000.0</v>
      </c>
      <c r="L319" s="115" t="s">
        <v>77</v>
      </c>
      <c r="M319" s="115" t="s">
        <v>37</v>
      </c>
      <c r="N319" s="61" t="s">
        <v>44</v>
      </c>
      <c r="O319" s="61" t="s">
        <v>605</v>
      </c>
      <c r="P319" s="161" t="s">
        <v>606</v>
      </c>
      <c r="Q319" s="61"/>
      <c r="R319" s="61"/>
      <c r="S319" s="61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</row>
    <row r="320" ht="22.5" customHeight="1">
      <c r="A320" s="157" t="s">
        <v>177</v>
      </c>
      <c r="B320" s="158" t="s">
        <v>48</v>
      </c>
      <c r="C320" s="124">
        <v>3.7023908E7</v>
      </c>
      <c r="D320" s="158" t="s">
        <v>738</v>
      </c>
      <c r="E320" s="159">
        <v>46028.0</v>
      </c>
      <c r="F320" s="160" t="s">
        <v>51</v>
      </c>
      <c r="G320" s="158" t="s">
        <v>52</v>
      </c>
      <c r="H320" s="48">
        <f t="shared" si="72"/>
        <v>5033.613445</v>
      </c>
      <c r="I320" s="48">
        <f t="shared" si="73"/>
        <v>956.3865546</v>
      </c>
      <c r="J320" s="42">
        <v>0.0</v>
      </c>
      <c r="K320" s="163">
        <v>5990.0</v>
      </c>
      <c r="L320" s="115" t="s">
        <v>77</v>
      </c>
      <c r="M320" s="115" t="s">
        <v>37</v>
      </c>
      <c r="N320" s="61" t="s">
        <v>44</v>
      </c>
      <c r="O320" s="61" t="s">
        <v>739</v>
      </c>
      <c r="P320" s="207" t="s">
        <v>740</v>
      </c>
      <c r="Q320" s="61"/>
      <c r="R320" s="61"/>
      <c r="S320" s="61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</row>
    <row r="321" ht="22.5" customHeight="1">
      <c r="A321" s="157" t="s">
        <v>177</v>
      </c>
      <c r="B321" s="158" t="s">
        <v>48</v>
      </c>
      <c r="C321" s="124">
        <v>2.5909458E7</v>
      </c>
      <c r="D321" s="158" t="s">
        <v>741</v>
      </c>
      <c r="E321" s="159">
        <v>46028.0</v>
      </c>
      <c r="F321" s="160" t="s">
        <v>51</v>
      </c>
      <c r="G321" s="158" t="s">
        <v>52</v>
      </c>
      <c r="H321" s="48">
        <f t="shared" si="72"/>
        <v>27697.47899</v>
      </c>
      <c r="I321" s="48">
        <f t="shared" si="73"/>
        <v>5262.521008</v>
      </c>
      <c r="J321" s="42">
        <v>0.0</v>
      </c>
      <c r="K321" s="163">
        <v>32960.0</v>
      </c>
      <c r="L321" s="115" t="s">
        <v>77</v>
      </c>
      <c r="M321" s="115" t="s">
        <v>37</v>
      </c>
      <c r="N321" s="61" t="s">
        <v>44</v>
      </c>
      <c r="O321" s="61" t="s">
        <v>739</v>
      </c>
      <c r="P321" s="207" t="s">
        <v>742</v>
      </c>
      <c r="Q321" s="61"/>
      <c r="R321" s="61"/>
      <c r="S321" s="61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</row>
    <row r="322" ht="22.5" customHeight="1">
      <c r="A322" s="123" t="s">
        <v>40</v>
      </c>
      <c r="B322" s="158" t="s">
        <v>48</v>
      </c>
      <c r="C322" s="158">
        <v>10.0</v>
      </c>
      <c r="D322" s="158" t="s">
        <v>455</v>
      </c>
      <c r="E322" s="159">
        <v>46027.0</v>
      </c>
      <c r="F322" s="160" t="s">
        <v>51</v>
      </c>
      <c r="G322" s="158" t="s">
        <v>52</v>
      </c>
      <c r="H322" s="48">
        <f>K322-J322</f>
        <v>205015</v>
      </c>
      <c r="I322" s="42">
        <v>0.0</v>
      </c>
      <c r="J322" s="48">
        <v>44985.0</v>
      </c>
      <c r="K322" s="163">
        <v>250000.0</v>
      </c>
      <c r="L322" s="115" t="s">
        <v>77</v>
      </c>
      <c r="M322" s="115" t="s">
        <v>37</v>
      </c>
      <c r="N322" s="61" t="s">
        <v>46</v>
      </c>
      <c r="O322" s="31" t="s">
        <v>522</v>
      </c>
      <c r="P322" s="207" t="s">
        <v>743</v>
      </c>
      <c r="Q322" s="61"/>
      <c r="R322" s="61"/>
      <c r="S322" s="61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</row>
    <row r="323" ht="22.5" customHeight="1">
      <c r="A323" s="246" t="s">
        <v>69</v>
      </c>
      <c r="B323" s="231" t="s">
        <v>48</v>
      </c>
      <c r="C323" s="231" t="s">
        <v>744</v>
      </c>
      <c r="D323" s="247" t="s">
        <v>745</v>
      </c>
      <c r="E323" s="232">
        <v>46027.0</v>
      </c>
      <c r="F323" s="233" t="s">
        <v>51</v>
      </c>
      <c r="G323" s="231" t="s">
        <v>52</v>
      </c>
      <c r="H323" s="224">
        <f t="shared" ref="H323:H325" si="74">K323/1.19</f>
        <v>84033.61345</v>
      </c>
      <c r="I323" s="224">
        <f t="shared" ref="I323:I325" si="75">H323*19%</f>
        <v>15966.38655</v>
      </c>
      <c r="J323" s="225">
        <v>0.0</v>
      </c>
      <c r="K323" s="193">
        <v>100000.0</v>
      </c>
      <c r="L323" s="226" t="s">
        <v>77</v>
      </c>
      <c r="M323" s="115" t="s">
        <v>36</v>
      </c>
      <c r="N323" s="227" t="s">
        <v>44</v>
      </c>
      <c r="O323" s="227" t="s">
        <v>712</v>
      </c>
      <c r="P323" s="248" t="s">
        <v>606</v>
      </c>
      <c r="Q323" s="227"/>
      <c r="R323" s="227"/>
      <c r="S323" s="227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</row>
    <row r="324" ht="22.5" customHeight="1">
      <c r="A324" s="246"/>
      <c r="B324" s="247" t="s">
        <v>71</v>
      </c>
      <c r="C324" s="231"/>
      <c r="D324" s="247" t="s">
        <v>410</v>
      </c>
      <c r="E324" s="249">
        <v>46024.0</v>
      </c>
      <c r="F324" s="247" t="s">
        <v>212</v>
      </c>
      <c r="G324" s="247" t="s">
        <v>52</v>
      </c>
      <c r="H324" s="250">
        <f t="shared" si="74"/>
        <v>15.12605042</v>
      </c>
      <c r="I324" s="250">
        <f t="shared" si="75"/>
        <v>2.87394958</v>
      </c>
      <c r="J324" s="251"/>
      <c r="K324" s="252">
        <v>18.0</v>
      </c>
      <c r="L324" s="253" t="s">
        <v>77</v>
      </c>
      <c r="M324" s="51" t="s">
        <v>36</v>
      </c>
      <c r="N324" s="254" t="s">
        <v>44</v>
      </c>
      <c r="O324" s="254" t="s">
        <v>746</v>
      </c>
      <c r="P324" s="255" t="s">
        <v>624</v>
      </c>
      <c r="Q324" s="256"/>
      <c r="R324" s="256"/>
      <c r="S324" s="256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</row>
    <row r="325" ht="22.5" customHeight="1">
      <c r="A325" s="157" t="s">
        <v>69</v>
      </c>
      <c r="B325" s="158" t="s">
        <v>48</v>
      </c>
      <c r="C325" s="158"/>
      <c r="D325" s="158" t="s">
        <v>747</v>
      </c>
      <c r="E325" s="159">
        <v>46024.0</v>
      </c>
      <c r="F325" s="160" t="s">
        <v>51</v>
      </c>
      <c r="G325" s="158" t="s">
        <v>52</v>
      </c>
      <c r="H325" s="48">
        <f t="shared" si="74"/>
        <v>109243.6975</v>
      </c>
      <c r="I325" s="48">
        <f t="shared" si="75"/>
        <v>20756.30252</v>
      </c>
      <c r="J325" s="42">
        <v>0.0</v>
      </c>
      <c r="K325" s="163">
        <v>130000.0</v>
      </c>
      <c r="L325" s="115" t="s">
        <v>77</v>
      </c>
      <c r="M325" s="115" t="s">
        <v>37</v>
      </c>
      <c r="N325" s="61" t="s">
        <v>46</v>
      </c>
      <c r="O325" s="61" t="s">
        <v>748</v>
      </c>
      <c r="P325" s="61"/>
      <c r="Q325" s="61"/>
      <c r="R325" s="61"/>
      <c r="S325" s="61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</row>
    <row r="326" ht="22.5" customHeight="1">
      <c r="A326" s="229" t="s">
        <v>69</v>
      </c>
      <c r="B326" s="211" t="s">
        <v>48</v>
      </c>
      <c r="C326" s="211">
        <v>1.44220357E8</v>
      </c>
      <c r="D326" s="211" t="s">
        <v>455</v>
      </c>
      <c r="E326" s="212">
        <v>46024.0</v>
      </c>
      <c r="F326" s="213" t="s">
        <v>51</v>
      </c>
      <c r="G326" s="211" t="s">
        <v>52</v>
      </c>
      <c r="H326" s="48">
        <v>8395.0</v>
      </c>
      <c r="I326" s="48">
        <v>1595.0</v>
      </c>
      <c r="J326" s="42">
        <v>0.0</v>
      </c>
      <c r="K326" s="184">
        <v>9990.0</v>
      </c>
      <c r="L326" s="216" t="s">
        <v>137</v>
      </c>
      <c r="M326" s="216" t="s">
        <v>38</v>
      </c>
      <c r="N326" s="217" t="s">
        <v>44</v>
      </c>
      <c r="O326" s="217" t="s">
        <v>749</v>
      </c>
      <c r="P326" s="218" t="s">
        <v>750</v>
      </c>
      <c r="Q326" s="217"/>
      <c r="R326" s="217"/>
      <c r="S326" s="217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</row>
    <row r="327" ht="22.5" customHeight="1">
      <c r="A327" s="157" t="s">
        <v>69</v>
      </c>
      <c r="B327" s="158" t="s">
        <v>48</v>
      </c>
      <c r="C327" s="158"/>
      <c r="D327" s="158" t="s">
        <v>455</v>
      </c>
      <c r="E327" s="159">
        <v>46024.0</v>
      </c>
      <c r="F327" s="160" t="s">
        <v>51</v>
      </c>
      <c r="G327" s="158" t="s">
        <v>52</v>
      </c>
      <c r="H327" s="48">
        <f>K327/1.19</f>
        <v>25613.44538</v>
      </c>
      <c r="I327" s="48">
        <f>H327*19%</f>
        <v>4866.554622</v>
      </c>
      <c r="J327" s="42">
        <v>0.0</v>
      </c>
      <c r="K327" s="163">
        <v>30480.0</v>
      </c>
      <c r="L327" s="173" t="s">
        <v>137</v>
      </c>
      <c r="M327" s="173" t="s">
        <v>38</v>
      </c>
      <c r="N327" s="61" t="s">
        <v>44</v>
      </c>
      <c r="O327" s="61" t="s">
        <v>751</v>
      </c>
      <c r="P327" s="207" t="s">
        <v>752</v>
      </c>
      <c r="Q327" s="61"/>
      <c r="R327" s="61"/>
      <c r="S327" s="61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</row>
    <row r="328" ht="22.5" customHeight="1">
      <c r="A328" s="123" t="s">
        <v>40</v>
      </c>
      <c r="B328" s="158" t="s">
        <v>48</v>
      </c>
      <c r="C328" s="158">
        <v>10.0</v>
      </c>
      <c r="D328" s="158" t="s">
        <v>753</v>
      </c>
      <c r="E328" s="159">
        <v>46024.0</v>
      </c>
      <c r="F328" s="160" t="s">
        <v>51</v>
      </c>
      <c r="G328" s="158" t="s">
        <v>52</v>
      </c>
      <c r="H328" s="48">
        <v>701754.0</v>
      </c>
      <c r="I328" s="42">
        <v>0.0</v>
      </c>
      <c r="J328" s="48">
        <v>101754.0</v>
      </c>
      <c r="K328" s="163">
        <v>600000.0</v>
      </c>
      <c r="L328" s="173" t="s">
        <v>137</v>
      </c>
      <c r="M328" s="173" t="s">
        <v>38</v>
      </c>
      <c r="N328" s="61" t="s">
        <v>44</v>
      </c>
      <c r="O328" s="61" t="s">
        <v>754</v>
      </c>
      <c r="P328" s="207" t="s">
        <v>755</v>
      </c>
      <c r="Q328" s="61"/>
      <c r="R328" s="61"/>
      <c r="S328" s="61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</row>
    <row r="329" ht="22.5" customHeight="1">
      <c r="A329" s="123" t="s">
        <v>40</v>
      </c>
      <c r="B329" s="158" t="s">
        <v>48</v>
      </c>
      <c r="C329" s="158">
        <v>97.0</v>
      </c>
      <c r="D329" s="158" t="s">
        <v>756</v>
      </c>
      <c r="E329" s="159">
        <v>46024.0</v>
      </c>
      <c r="F329" s="160" t="s">
        <v>51</v>
      </c>
      <c r="G329" s="158" t="s">
        <v>52</v>
      </c>
      <c r="H329" s="48">
        <v>350000.0</v>
      </c>
      <c r="I329" s="42">
        <v>0.0</v>
      </c>
      <c r="J329" s="48">
        <v>50750.0</v>
      </c>
      <c r="K329" s="163">
        <v>299250.0</v>
      </c>
      <c r="L329" s="173" t="s">
        <v>137</v>
      </c>
      <c r="M329" s="173" t="s">
        <v>38</v>
      </c>
      <c r="N329" s="61" t="s">
        <v>44</v>
      </c>
      <c r="O329" s="61" t="s">
        <v>757</v>
      </c>
      <c r="P329" s="207" t="s">
        <v>758</v>
      </c>
      <c r="Q329" s="61"/>
      <c r="R329" s="61"/>
      <c r="S329" s="61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</row>
    <row r="330" ht="22.5" customHeight="1">
      <c r="A330" s="246" t="s">
        <v>69</v>
      </c>
      <c r="B330" s="231" t="s">
        <v>48</v>
      </c>
      <c r="C330" s="231" t="s">
        <v>759</v>
      </c>
      <c r="D330" s="227" t="s">
        <v>727</v>
      </c>
      <c r="E330" s="232">
        <v>46024.0</v>
      </c>
      <c r="F330" s="233" t="s">
        <v>51</v>
      </c>
      <c r="G330" s="231" t="s">
        <v>52</v>
      </c>
      <c r="H330" s="48">
        <f t="shared" ref="H330:H333" si="76">K330/1.19</f>
        <v>403361.3445</v>
      </c>
      <c r="I330" s="48">
        <f t="shared" ref="I330:I333" si="77">H330*19%</f>
        <v>76638.65546</v>
      </c>
      <c r="J330" s="42">
        <v>0.0</v>
      </c>
      <c r="K330" s="193">
        <v>480000.0</v>
      </c>
      <c r="L330" s="226" t="s">
        <v>77</v>
      </c>
      <c r="M330" s="226" t="s">
        <v>37</v>
      </c>
      <c r="N330" s="227" t="s">
        <v>44</v>
      </c>
      <c r="O330" s="227" t="s">
        <v>563</v>
      </c>
      <c r="P330" s="228" t="s">
        <v>760</v>
      </c>
      <c r="Q330" s="227"/>
      <c r="R330" s="227"/>
      <c r="S330" s="227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</row>
    <row r="331" ht="22.5" customHeight="1">
      <c r="A331" s="257" t="s">
        <v>69</v>
      </c>
      <c r="B331" s="247" t="s">
        <v>71</v>
      </c>
      <c r="C331" s="231"/>
      <c r="D331" s="258" t="s">
        <v>761</v>
      </c>
      <c r="E331" s="249">
        <v>46024.0</v>
      </c>
      <c r="F331" s="247" t="s">
        <v>51</v>
      </c>
      <c r="G331" s="247" t="s">
        <v>52</v>
      </c>
      <c r="H331" s="48">
        <f t="shared" si="76"/>
        <v>403361.3445</v>
      </c>
      <c r="I331" s="48">
        <f t="shared" si="77"/>
        <v>76638.65546</v>
      </c>
      <c r="J331" s="42">
        <v>0.0</v>
      </c>
      <c r="K331" s="193">
        <v>480000.0</v>
      </c>
      <c r="L331" s="253" t="s">
        <v>77</v>
      </c>
      <c r="M331" s="253" t="s">
        <v>36</v>
      </c>
      <c r="N331" s="254" t="s">
        <v>44</v>
      </c>
      <c r="O331" s="256"/>
      <c r="P331" s="256"/>
      <c r="Q331" s="256"/>
      <c r="R331" s="256"/>
      <c r="S331" s="256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</row>
    <row r="332" ht="22.5" customHeight="1">
      <c r="A332" s="157" t="s">
        <v>69</v>
      </c>
      <c r="B332" s="158" t="s">
        <v>48</v>
      </c>
      <c r="C332" s="158"/>
      <c r="D332" s="61" t="s">
        <v>727</v>
      </c>
      <c r="E332" s="159">
        <v>46024.0</v>
      </c>
      <c r="F332" s="160" t="s">
        <v>51</v>
      </c>
      <c r="G332" s="158" t="s">
        <v>52</v>
      </c>
      <c r="H332" s="48">
        <f t="shared" si="76"/>
        <v>336134.4538</v>
      </c>
      <c r="I332" s="48">
        <f t="shared" si="77"/>
        <v>63865.54622</v>
      </c>
      <c r="J332" s="42">
        <v>0.0</v>
      </c>
      <c r="K332" s="163">
        <v>400000.0</v>
      </c>
      <c r="L332" s="115" t="s">
        <v>77</v>
      </c>
      <c r="M332" s="115" t="s">
        <v>37</v>
      </c>
      <c r="N332" s="61" t="s">
        <v>44</v>
      </c>
      <c r="O332" s="61" t="s">
        <v>563</v>
      </c>
      <c r="P332" s="207" t="s">
        <v>762</v>
      </c>
      <c r="Q332" s="61"/>
      <c r="R332" s="61"/>
      <c r="S332" s="61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</row>
    <row r="333" ht="22.5" customHeight="1">
      <c r="A333" s="259" t="s">
        <v>69</v>
      </c>
      <c r="B333" s="260" t="s">
        <v>48</v>
      </c>
      <c r="C333" s="260"/>
      <c r="D333" s="261" t="s">
        <v>727</v>
      </c>
      <c r="E333" s="262">
        <v>46024.0</v>
      </c>
      <c r="F333" s="263" t="s">
        <v>51</v>
      </c>
      <c r="G333" s="260" t="s">
        <v>52</v>
      </c>
      <c r="H333" s="48">
        <f t="shared" si="76"/>
        <v>420168.0672</v>
      </c>
      <c r="I333" s="48">
        <f t="shared" si="77"/>
        <v>79831.93277</v>
      </c>
      <c r="J333" s="42">
        <v>0.0</v>
      </c>
      <c r="K333" s="264">
        <v>500000.0</v>
      </c>
      <c r="L333" s="265" t="s">
        <v>77</v>
      </c>
      <c r="M333" s="265" t="s">
        <v>37</v>
      </c>
      <c r="N333" s="261" t="s">
        <v>44</v>
      </c>
      <c r="O333" s="261" t="s">
        <v>496</v>
      </c>
      <c r="P333" s="266" t="s">
        <v>763</v>
      </c>
      <c r="Q333" s="261"/>
      <c r="R333" s="261"/>
      <c r="S333" s="261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</row>
    <row r="334" ht="22.5" customHeight="1">
      <c r="A334" s="157" t="s">
        <v>177</v>
      </c>
      <c r="B334" s="158" t="s">
        <v>48</v>
      </c>
      <c r="C334" s="124">
        <v>40.0</v>
      </c>
      <c r="D334" s="158" t="s">
        <v>764</v>
      </c>
      <c r="E334" s="159">
        <v>46024.0</v>
      </c>
      <c r="F334" s="160" t="s">
        <v>51</v>
      </c>
      <c r="G334" s="158" t="s">
        <v>52</v>
      </c>
      <c r="H334" s="48">
        <v>696900.0</v>
      </c>
      <c r="I334" s="48">
        <v>132411.0</v>
      </c>
      <c r="J334" s="42">
        <v>0.0</v>
      </c>
      <c r="K334" s="267">
        <v>829311.0</v>
      </c>
      <c r="L334" s="173" t="s">
        <v>97</v>
      </c>
      <c r="M334" s="173" t="s">
        <v>35</v>
      </c>
      <c r="N334" s="61" t="s">
        <v>44</v>
      </c>
      <c r="O334" s="61" t="s">
        <v>732</v>
      </c>
      <c r="P334" s="207" t="s">
        <v>765</v>
      </c>
      <c r="Q334" s="61"/>
      <c r="R334" s="61"/>
      <c r="S334" s="61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</row>
    <row r="335" ht="22.5" customHeight="1">
      <c r="A335" s="229" t="s">
        <v>148</v>
      </c>
      <c r="B335" s="211" t="s">
        <v>48</v>
      </c>
      <c r="C335" s="211"/>
      <c r="D335" s="211" t="s">
        <v>692</v>
      </c>
      <c r="E335" s="212">
        <v>46014.0</v>
      </c>
      <c r="F335" s="213" t="s">
        <v>51</v>
      </c>
      <c r="G335" s="211" t="s">
        <v>52</v>
      </c>
      <c r="H335" s="42">
        <f t="shared" ref="H335:H337" si="78">K335-I335</f>
        <v>3240</v>
      </c>
      <c r="I335" s="42">
        <f>K335*19%</f>
        <v>760</v>
      </c>
      <c r="J335" s="42">
        <v>0.0</v>
      </c>
      <c r="K335" s="268">
        <v>4000.0</v>
      </c>
      <c r="L335" s="269" t="s">
        <v>77</v>
      </c>
      <c r="M335" s="270" t="s">
        <v>37</v>
      </c>
      <c r="N335" s="271" t="s">
        <v>44</v>
      </c>
      <c r="O335" s="271" t="s">
        <v>766</v>
      </c>
      <c r="P335" s="272" t="s">
        <v>767</v>
      </c>
      <c r="Q335" s="271"/>
      <c r="R335" s="271"/>
      <c r="S335" s="271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</row>
    <row r="336" ht="22.5" customHeight="1">
      <c r="A336" s="229" t="s">
        <v>177</v>
      </c>
      <c r="B336" s="210" t="s">
        <v>48</v>
      </c>
      <c r="C336" s="182">
        <v>5.2511868E7</v>
      </c>
      <c r="D336" s="211" t="s">
        <v>692</v>
      </c>
      <c r="E336" s="236">
        <v>46014.0</v>
      </c>
      <c r="F336" s="213" t="s">
        <v>51</v>
      </c>
      <c r="G336" s="211" t="s">
        <v>52</v>
      </c>
      <c r="H336" s="42">
        <f t="shared" si="78"/>
        <v>43359</v>
      </c>
      <c r="I336" s="48">
        <v>1899.0</v>
      </c>
      <c r="J336" s="42">
        <v>0.0</v>
      </c>
      <c r="K336" s="268">
        <v>45258.0</v>
      </c>
      <c r="L336" s="273" t="s">
        <v>77</v>
      </c>
      <c r="M336" s="274" t="s">
        <v>37</v>
      </c>
      <c r="N336" s="217" t="s">
        <v>44</v>
      </c>
      <c r="O336" s="217" t="s">
        <v>768</v>
      </c>
      <c r="P336" s="218" t="s">
        <v>769</v>
      </c>
      <c r="Q336" s="217"/>
      <c r="R336" s="217"/>
      <c r="S336" s="217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</row>
    <row r="337" ht="22.5" customHeight="1">
      <c r="A337" s="157" t="s">
        <v>177</v>
      </c>
      <c r="B337" s="158" t="s">
        <v>48</v>
      </c>
      <c r="C337" s="124">
        <v>237.0</v>
      </c>
      <c r="D337" s="158" t="s">
        <v>770</v>
      </c>
      <c r="E337" s="159">
        <v>46013.0</v>
      </c>
      <c r="F337" s="160" t="s">
        <v>51</v>
      </c>
      <c r="G337" s="158" t="s">
        <v>52</v>
      </c>
      <c r="H337" s="42">
        <f t="shared" si="78"/>
        <v>700000</v>
      </c>
      <c r="I337" s="48">
        <v>133000.0</v>
      </c>
      <c r="J337" s="42">
        <v>0.0</v>
      </c>
      <c r="K337" s="48">
        <v>833000.0</v>
      </c>
      <c r="L337" s="173" t="s">
        <v>137</v>
      </c>
      <c r="M337" s="209" t="s">
        <v>37</v>
      </c>
      <c r="N337" s="61" t="s">
        <v>44</v>
      </c>
      <c r="O337" s="61" t="s">
        <v>771</v>
      </c>
      <c r="P337" s="207" t="s">
        <v>772</v>
      </c>
      <c r="Q337" s="61"/>
      <c r="R337" s="61"/>
      <c r="S337" s="61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</row>
    <row r="338" ht="22.5" customHeight="1">
      <c r="A338" s="123" t="s">
        <v>40</v>
      </c>
      <c r="B338" s="158" t="s">
        <v>48</v>
      </c>
      <c r="C338" s="124">
        <v>9.0</v>
      </c>
      <c r="D338" s="158" t="s">
        <v>773</v>
      </c>
      <c r="E338" s="159">
        <v>46013.0</v>
      </c>
      <c r="F338" s="160" t="s">
        <v>51</v>
      </c>
      <c r="G338" s="158" t="s">
        <v>52</v>
      </c>
      <c r="H338" s="48">
        <v>100000.0</v>
      </c>
      <c r="I338" s="42">
        <v>0.0</v>
      </c>
      <c r="J338" s="48">
        <v>16959.0</v>
      </c>
      <c r="K338" s="48">
        <f>J338+H338</f>
        <v>116959</v>
      </c>
      <c r="L338" s="173" t="s">
        <v>70</v>
      </c>
      <c r="M338" s="209" t="s">
        <v>38</v>
      </c>
      <c r="N338" s="61" t="s">
        <v>44</v>
      </c>
      <c r="O338" s="61" t="s">
        <v>774</v>
      </c>
      <c r="P338" s="207" t="s">
        <v>775</v>
      </c>
      <c r="Q338" s="61"/>
      <c r="R338" s="61"/>
      <c r="S338" s="61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</row>
    <row r="339" ht="22.5" customHeight="1">
      <c r="A339" s="157" t="s">
        <v>177</v>
      </c>
      <c r="B339" s="158" t="s">
        <v>48</v>
      </c>
      <c r="C339" s="124">
        <v>38.0</v>
      </c>
      <c r="D339" s="158" t="s">
        <v>776</v>
      </c>
      <c r="E339" s="159">
        <v>46010.0</v>
      </c>
      <c r="F339" s="160" t="s">
        <v>51</v>
      </c>
      <c r="G339" s="158" t="s">
        <v>52</v>
      </c>
      <c r="H339" s="48">
        <f t="shared" ref="H339:H355" si="79">K339-I339</f>
        <v>997000</v>
      </c>
      <c r="I339" s="48">
        <v>181100.0</v>
      </c>
      <c r="J339" s="42">
        <v>0.0</v>
      </c>
      <c r="K339" s="48">
        <v>1178100.0</v>
      </c>
      <c r="L339" s="239" t="s">
        <v>68</v>
      </c>
      <c r="M339" s="239" t="s">
        <v>35</v>
      </c>
      <c r="N339" s="61" t="s">
        <v>44</v>
      </c>
      <c r="O339" s="61" t="s">
        <v>777</v>
      </c>
      <c r="P339" s="275" t="s">
        <v>778</v>
      </c>
      <c r="Q339" s="61"/>
      <c r="R339" s="61"/>
      <c r="S339" s="61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</row>
    <row r="340" ht="22.5" customHeight="1">
      <c r="A340" s="157" t="s">
        <v>177</v>
      </c>
      <c r="B340" s="158" t="s">
        <v>48</v>
      </c>
      <c r="C340" s="124">
        <v>2.5782634E7</v>
      </c>
      <c r="D340" s="158" t="s">
        <v>779</v>
      </c>
      <c r="E340" s="159">
        <v>46010.0</v>
      </c>
      <c r="F340" s="160" t="s">
        <v>51</v>
      </c>
      <c r="G340" s="158" t="s">
        <v>52</v>
      </c>
      <c r="H340" s="48">
        <f t="shared" si="79"/>
        <v>25202</v>
      </c>
      <c r="I340" s="48">
        <v>4788.0</v>
      </c>
      <c r="J340" s="42">
        <v>0.0</v>
      </c>
      <c r="K340" s="48">
        <v>29990.0</v>
      </c>
      <c r="L340" s="115" t="s">
        <v>77</v>
      </c>
      <c r="M340" s="51" t="s">
        <v>37</v>
      </c>
      <c r="N340" s="61" t="s">
        <v>44</v>
      </c>
      <c r="O340" s="61" t="s">
        <v>780</v>
      </c>
      <c r="P340" s="207" t="s">
        <v>781</v>
      </c>
      <c r="Q340" s="61"/>
      <c r="R340" s="61"/>
      <c r="S340" s="61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</row>
    <row r="341" ht="22.5" customHeight="1">
      <c r="A341" s="157" t="s">
        <v>69</v>
      </c>
      <c r="B341" s="158" t="s">
        <v>48</v>
      </c>
      <c r="C341" s="158" t="s">
        <v>782</v>
      </c>
      <c r="D341" s="158" t="s">
        <v>783</v>
      </c>
      <c r="E341" s="159">
        <v>46009.0</v>
      </c>
      <c r="F341" s="160" t="s">
        <v>51</v>
      </c>
      <c r="G341" s="158" t="s">
        <v>52</v>
      </c>
      <c r="H341" s="48">
        <f t="shared" si="79"/>
        <v>39644</v>
      </c>
      <c r="I341" s="42">
        <v>0.0</v>
      </c>
      <c r="J341" s="42">
        <v>0.0</v>
      </c>
      <c r="K341" s="48">
        <v>39644.0</v>
      </c>
      <c r="L341" s="115" t="s">
        <v>77</v>
      </c>
      <c r="M341" s="51" t="s">
        <v>37</v>
      </c>
      <c r="N341" s="61" t="s">
        <v>44</v>
      </c>
      <c r="O341" s="61" t="s">
        <v>784</v>
      </c>
      <c r="P341" s="161" t="s">
        <v>785</v>
      </c>
      <c r="Q341" s="61"/>
      <c r="R341" s="61"/>
      <c r="S341" s="61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</row>
    <row r="342" ht="22.5" customHeight="1">
      <c r="A342" s="157" t="s">
        <v>69</v>
      </c>
      <c r="B342" s="158" t="s">
        <v>48</v>
      </c>
      <c r="C342" s="158">
        <v>8.675046696E9</v>
      </c>
      <c r="D342" s="158" t="s">
        <v>786</v>
      </c>
      <c r="E342" s="159">
        <v>46009.0</v>
      </c>
      <c r="F342" s="160" t="s">
        <v>51</v>
      </c>
      <c r="G342" s="158" t="s">
        <v>52</v>
      </c>
      <c r="H342" s="48">
        <f t="shared" si="79"/>
        <v>719585</v>
      </c>
      <c r="I342" s="42">
        <v>0.0</v>
      </c>
      <c r="J342" s="42">
        <v>0.0</v>
      </c>
      <c r="K342" s="48">
        <v>719585.0</v>
      </c>
      <c r="L342" s="115" t="s">
        <v>77</v>
      </c>
      <c r="M342" s="51" t="s">
        <v>37</v>
      </c>
      <c r="N342" s="61" t="s">
        <v>44</v>
      </c>
      <c r="O342" s="61" t="s">
        <v>787</v>
      </c>
      <c r="P342" s="161" t="s">
        <v>606</v>
      </c>
      <c r="Q342" s="61"/>
      <c r="R342" s="61"/>
      <c r="S342" s="61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</row>
    <row r="343" ht="22.5" customHeight="1">
      <c r="A343" s="157" t="s">
        <v>69</v>
      </c>
      <c r="B343" s="158" t="s">
        <v>48</v>
      </c>
      <c r="C343" s="158"/>
      <c r="D343" s="158" t="s">
        <v>788</v>
      </c>
      <c r="E343" s="159">
        <v>46009.0</v>
      </c>
      <c r="F343" s="160" t="s">
        <v>51</v>
      </c>
      <c r="G343" s="158" t="s">
        <v>52</v>
      </c>
      <c r="H343" s="48">
        <f t="shared" si="79"/>
        <v>5300</v>
      </c>
      <c r="I343" s="42">
        <v>0.0</v>
      </c>
      <c r="J343" s="42">
        <v>0.0</v>
      </c>
      <c r="K343" s="48">
        <v>5300.0</v>
      </c>
      <c r="L343" s="173" t="s">
        <v>137</v>
      </c>
      <c r="M343" s="209" t="s">
        <v>37</v>
      </c>
      <c r="N343" s="61" t="s">
        <v>44</v>
      </c>
      <c r="O343" s="61" t="s">
        <v>789</v>
      </c>
      <c r="P343" s="207" t="s">
        <v>790</v>
      </c>
      <c r="Q343" s="61"/>
      <c r="R343" s="61"/>
      <c r="S343" s="61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</row>
    <row r="344" ht="22.5" customHeight="1">
      <c r="A344" s="157" t="s">
        <v>69</v>
      </c>
      <c r="B344" s="158" t="s">
        <v>48</v>
      </c>
      <c r="C344" s="158"/>
      <c r="D344" s="158" t="s">
        <v>791</v>
      </c>
      <c r="E344" s="159">
        <v>46009.0</v>
      </c>
      <c r="F344" s="160" t="s">
        <v>51</v>
      </c>
      <c r="G344" s="158" t="s">
        <v>52</v>
      </c>
      <c r="H344" s="48">
        <f t="shared" si="79"/>
        <v>5300</v>
      </c>
      <c r="I344" s="42">
        <v>0.0</v>
      </c>
      <c r="J344" s="42">
        <v>0.0</v>
      </c>
      <c r="K344" s="48">
        <v>5300.0</v>
      </c>
      <c r="L344" s="173" t="s">
        <v>137</v>
      </c>
      <c r="M344" s="209" t="s">
        <v>37</v>
      </c>
      <c r="N344" s="61" t="s">
        <v>44</v>
      </c>
      <c r="O344" s="61" t="s">
        <v>789</v>
      </c>
      <c r="P344" s="207" t="s">
        <v>792</v>
      </c>
      <c r="Q344" s="61"/>
      <c r="R344" s="61"/>
      <c r="S344" s="61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</row>
    <row r="345" ht="22.5" customHeight="1">
      <c r="A345" s="157" t="s">
        <v>69</v>
      </c>
      <c r="B345" s="158" t="s">
        <v>48</v>
      </c>
      <c r="C345" s="158"/>
      <c r="D345" s="158" t="s">
        <v>793</v>
      </c>
      <c r="E345" s="159">
        <v>46008.0</v>
      </c>
      <c r="F345" s="160" t="s">
        <v>51</v>
      </c>
      <c r="G345" s="158" t="s">
        <v>52</v>
      </c>
      <c r="H345" s="48">
        <f t="shared" si="79"/>
        <v>2000</v>
      </c>
      <c r="I345" s="42">
        <v>0.0</v>
      </c>
      <c r="J345" s="42">
        <v>0.0</v>
      </c>
      <c r="K345" s="48">
        <v>2000.0</v>
      </c>
      <c r="L345" s="173" t="s">
        <v>137</v>
      </c>
      <c r="M345" s="209" t="s">
        <v>37</v>
      </c>
      <c r="N345" s="61" t="s">
        <v>44</v>
      </c>
      <c r="O345" s="61" t="s">
        <v>794</v>
      </c>
      <c r="P345" s="207" t="s">
        <v>795</v>
      </c>
      <c r="Q345" s="61"/>
      <c r="R345" s="61"/>
      <c r="S345" s="61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</row>
    <row r="346" ht="22.5" customHeight="1">
      <c r="A346" s="157" t="s">
        <v>148</v>
      </c>
      <c r="B346" s="158" t="s">
        <v>48</v>
      </c>
      <c r="C346" s="158"/>
      <c r="D346" s="158" t="s">
        <v>796</v>
      </c>
      <c r="E346" s="159">
        <v>46008.0</v>
      </c>
      <c r="F346" s="160" t="s">
        <v>51</v>
      </c>
      <c r="G346" s="158" t="s">
        <v>52</v>
      </c>
      <c r="H346" s="48">
        <f t="shared" si="79"/>
        <v>18306</v>
      </c>
      <c r="I346" s="42">
        <f>K346*19%</f>
        <v>4294</v>
      </c>
      <c r="J346" s="42">
        <v>0.0</v>
      </c>
      <c r="K346" s="48">
        <v>22600.0</v>
      </c>
      <c r="L346" s="173" t="s">
        <v>137</v>
      </c>
      <c r="M346" s="209" t="s">
        <v>37</v>
      </c>
      <c r="N346" s="61" t="s">
        <v>44</v>
      </c>
      <c r="O346" s="61" t="s">
        <v>797</v>
      </c>
      <c r="P346" s="207" t="s">
        <v>798</v>
      </c>
      <c r="Q346" s="207" t="s">
        <v>799</v>
      </c>
      <c r="R346" s="207" t="s">
        <v>800</v>
      </c>
      <c r="S346" s="61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</row>
    <row r="347" ht="22.5" customHeight="1">
      <c r="A347" s="157" t="s">
        <v>69</v>
      </c>
      <c r="B347" s="158" t="s">
        <v>48</v>
      </c>
      <c r="C347" s="158"/>
      <c r="D347" s="158" t="s">
        <v>796</v>
      </c>
      <c r="E347" s="159">
        <v>46008.0</v>
      </c>
      <c r="F347" s="160" t="s">
        <v>51</v>
      </c>
      <c r="G347" s="158" t="s">
        <v>52</v>
      </c>
      <c r="H347" s="48">
        <f t="shared" si="79"/>
        <v>30000</v>
      </c>
      <c r="I347" s="42">
        <v>0.0</v>
      </c>
      <c r="J347" s="42">
        <v>0.0</v>
      </c>
      <c r="K347" s="48">
        <v>30000.0</v>
      </c>
      <c r="L347" s="173" t="s">
        <v>137</v>
      </c>
      <c r="M347" s="209" t="s">
        <v>37</v>
      </c>
      <c r="N347" s="61" t="s">
        <v>44</v>
      </c>
      <c r="O347" s="61" t="s">
        <v>797</v>
      </c>
      <c r="P347" s="207" t="s">
        <v>801</v>
      </c>
      <c r="Q347" s="61"/>
      <c r="R347" s="61"/>
      <c r="S347" s="61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</row>
    <row r="348" ht="22.5" customHeight="1">
      <c r="A348" s="246" t="s">
        <v>69</v>
      </c>
      <c r="B348" s="231" t="s">
        <v>48</v>
      </c>
      <c r="C348" s="221"/>
      <c r="D348" s="231" t="s">
        <v>802</v>
      </c>
      <c r="E348" s="232">
        <v>46008.0</v>
      </c>
      <c r="F348" s="233" t="s">
        <v>51</v>
      </c>
      <c r="G348" s="231" t="s">
        <v>52</v>
      </c>
      <c r="H348" s="48">
        <f t="shared" si="79"/>
        <v>6490</v>
      </c>
      <c r="I348" s="42">
        <v>0.0</v>
      </c>
      <c r="J348" s="42">
        <v>0.0</v>
      </c>
      <c r="K348" s="224">
        <v>6490.0</v>
      </c>
      <c r="L348" s="276" t="s">
        <v>137</v>
      </c>
      <c r="M348" s="277" t="s">
        <v>37</v>
      </c>
      <c r="N348" s="227" t="s">
        <v>44</v>
      </c>
      <c r="O348" s="227" t="s">
        <v>668</v>
      </c>
      <c r="P348" s="228" t="s">
        <v>803</v>
      </c>
      <c r="Q348" s="227"/>
      <c r="R348" s="227"/>
      <c r="S348" s="227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</row>
    <row r="349" ht="22.5" customHeight="1">
      <c r="A349" s="157" t="s">
        <v>69</v>
      </c>
      <c r="B349" s="158" t="s">
        <v>48</v>
      </c>
      <c r="C349" s="158"/>
      <c r="D349" s="158" t="s">
        <v>804</v>
      </c>
      <c r="E349" s="159">
        <v>46008.0</v>
      </c>
      <c r="F349" s="160" t="s">
        <v>51</v>
      </c>
      <c r="G349" s="158" t="s">
        <v>52</v>
      </c>
      <c r="H349" s="48">
        <f t="shared" si="79"/>
        <v>1980</v>
      </c>
      <c r="I349" s="42">
        <v>0.0</v>
      </c>
      <c r="J349" s="42">
        <v>0.0</v>
      </c>
      <c r="K349" s="48">
        <v>1980.0</v>
      </c>
      <c r="L349" s="173" t="s">
        <v>137</v>
      </c>
      <c r="M349" s="209" t="s">
        <v>37</v>
      </c>
      <c r="N349" s="61" t="s">
        <v>44</v>
      </c>
      <c r="O349" s="61" t="s">
        <v>794</v>
      </c>
      <c r="P349" s="207" t="s">
        <v>805</v>
      </c>
      <c r="Q349" s="61"/>
      <c r="R349" s="61"/>
      <c r="S349" s="61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</row>
    <row r="350" ht="22.5" customHeight="1">
      <c r="A350" s="157" t="s">
        <v>148</v>
      </c>
      <c r="B350" s="158" t="s">
        <v>48</v>
      </c>
      <c r="C350" s="158"/>
      <c r="D350" s="158" t="s">
        <v>796</v>
      </c>
      <c r="E350" s="159">
        <v>46007.0</v>
      </c>
      <c r="F350" s="160" t="s">
        <v>51</v>
      </c>
      <c r="G350" s="158" t="s">
        <v>52</v>
      </c>
      <c r="H350" s="48">
        <f t="shared" si="79"/>
        <v>23846.4</v>
      </c>
      <c r="I350" s="42">
        <f t="shared" ref="I350:I351" si="80">K350*19%</f>
        <v>5593.6</v>
      </c>
      <c r="J350" s="42">
        <v>0.0</v>
      </c>
      <c r="K350" s="48">
        <v>29440.0</v>
      </c>
      <c r="L350" s="173" t="s">
        <v>137</v>
      </c>
      <c r="M350" s="209" t="s">
        <v>37</v>
      </c>
      <c r="N350" s="61" t="s">
        <v>44</v>
      </c>
      <c r="O350" s="61" t="s">
        <v>797</v>
      </c>
      <c r="P350" s="207" t="s">
        <v>806</v>
      </c>
      <c r="Q350" s="207" t="s">
        <v>807</v>
      </c>
      <c r="R350" s="207" t="s">
        <v>808</v>
      </c>
      <c r="S350" s="207" t="s">
        <v>809</v>
      </c>
      <c r="T350" s="59"/>
      <c r="U350" s="59"/>
      <c r="V350" s="59"/>
      <c r="W350" s="59"/>
      <c r="X350" s="59"/>
      <c r="Y350" s="59"/>
      <c r="Z350" s="59"/>
      <c r="AA350" s="59"/>
      <c r="AB350" s="59"/>
      <c r="AC350" s="59"/>
    </row>
    <row r="351" ht="22.5" customHeight="1">
      <c r="A351" s="229" t="s">
        <v>148</v>
      </c>
      <c r="B351" s="211" t="s">
        <v>48</v>
      </c>
      <c r="C351" s="211"/>
      <c r="D351" s="211" t="s">
        <v>810</v>
      </c>
      <c r="E351" s="212">
        <v>46006.0</v>
      </c>
      <c r="F351" s="213" t="s">
        <v>51</v>
      </c>
      <c r="G351" s="211" t="s">
        <v>52</v>
      </c>
      <c r="H351" s="48">
        <f t="shared" si="79"/>
        <v>12150</v>
      </c>
      <c r="I351" s="42">
        <f t="shared" si="80"/>
        <v>2850</v>
      </c>
      <c r="J351" s="214">
        <v>0.0</v>
      </c>
      <c r="K351" s="215">
        <v>15000.0</v>
      </c>
      <c r="L351" s="216" t="s">
        <v>137</v>
      </c>
      <c r="M351" s="278" t="s">
        <v>37</v>
      </c>
      <c r="N351" s="217" t="s">
        <v>44</v>
      </c>
      <c r="O351" s="217" t="s">
        <v>811</v>
      </c>
      <c r="P351" s="218" t="s">
        <v>812</v>
      </c>
      <c r="Q351" s="217"/>
      <c r="R351" s="217"/>
      <c r="S351" s="217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</row>
    <row r="352" ht="22.5" customHeight="1">
      <c r="A352" s="157" t="s">
        <v>69</v>
      </c>
      <c r="B352" s="158" t="s">
        <v>48</v>
      </c>
      <c r="C352" s="158"/>
      <c r="D352" s="158" t="s">
        <v>813</v>
      </c>
      <c r="E352" s="159">
        <v>46006.0</v>
      </c>
      <c r="F352" s="160" t="s">
        <v>51</v>
      </c>
      <c r="G352" s="158" t="s">
        <v>52</v>
      </c>
      <c r="H352" s="48">
        <f t="shared" si="79"/>
        <v>16520</v>
      </c>
      <c r="I352" s="42">
        <v>0.0</v>
      </c>
      <c r="J352" s="42">
        <v>0.0</v>
      </c>
      <c r="K352" s="48">
        <v>16520.0</v>
      </c>
      <c r="L352" s="173" t="s">
        <v>137</v>
      </c>
      <c r="M352" s="209" t="s">
        <v>37</v>
      </c>
      <c r="N352" s="61" t="s">
        <v>44</v>
      </c>
      <c r="O352" s="61" t="s">
        <v>668</v>
      </c>
      <c r="P352" s="207" t="s">
        <v>814</v>
      </c>
      <c r="Q352" s="61"/>
      <c r="R352" s="61"/>
      <c r="S352" s="61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</row>
    <row r="353" ht="22.5" customHeight="1">
      <c r="A353" s="157" t="s">
        <v>69</v>
      </c>
      <c r="B353" s="158" t="s">
        <v>48</v>
      </c>
      <c r="C353" s="158"/>
      <c r="D353" s="158" t="s">
        <v>815</v>
      </c>
      <c r="E353" s="159">
        <v>46006.0</v>
      </c>
      <c r="F353" s="160" t="s">
        <v>51</v>
      </c>
      <c r="G353" s="158" t="s">
        <v>52</v>
      </c>
      <c r="H353" s="48">
        <f t="shared" si="79"/>
        <v>3460</v>
      </c>
      <c r="I353" s="42">
        <v>0.0</v>
      </c>
      <c r="J353" s="42">
        <v>0.0</v>
      </c>
      <c r="K353" s="48">
        <v>3460.0</v>
      </c>
      <c r="L353" s="173" t="s">
        <v>137</v>
      </c>
      <c r="M353" s="209" t="s">
        <v>37</v>
      </c>
      <c r="N353" s="61" t="s">
        <v>44</v>
      </c>
      <c r="O353" s="61" t="s">
        <v>668</v>
      </c>
      <c r="P353" s="207" t="s">
        <v>816</v>
      </c>
      <c r="Q353" s="61"/>
      <c r="R353" s="61"/>
      <c r="S353" s="61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</row>
    <row r="354" ht="22.5" customHeight="1">
      <c r="A354" s="157" t="s">
        <v>69</v>
      </c>
      <c r="B354" s="158" t="s">
        <v>48</v>
      </c>
      <c r="C354" s="158"/>
      <c r="D354" s="158" t="s">
        <v>817</v>
      </c>
      <c r="E354" s="159">
        <v>46006.0</v>
      </c>
      <c r="F354" s="160" t="s">
        <v>51</v>
      </c>
      <c r="G354" s="158" t="s">
        <v>52</v>
      </c>
      <c r="H354" s="48">
        <f t="shared" si="79"/>
        <v>11900</v>
      </c>
      <c r="I354" s="42">
        <v>0.0</v>
      </c>
      <c r="J354" s="42">
        <v>0.0</v>
      </c>
      <c r="K354" s="48">
        <v>11900.0</v>
      </c>
      <c r="L354" s="173" t="s">
        <v>137</v>
      </c>
      <c r="M354" s="209" t="s">
        <v>37</v>
      </c>
      <c r="N354" s="61" t="s">
        <v>44</v>
      </c>
      <c r="O354" s="61" t="s">
        <v>616</v>
      </c>
      <c r="P354" s="207" t="s">
        <v>818</v>
      </c>
      <c r="Q354" s="61"/>
      <c r="R354" s="61"/>
      <c r="S354" s="61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</row>
    <row r="355" ht="22.5" customHeight="1">
      <c r="A355" s="157" t="s">
        <v>148</v>
      </c>
      <c r="B355" s="158" t="s">
        <v>48</v>
      </c>
      <c r="C355" s="158"/>
      <c r="D355" s="158" t="s">
        <v>819</v>
      </c>
      <c r="E355" s="159">
        <v>46006.0</v>
      </c>
      <c r="F355" s="160" t="s">
        <v>51</v>
      </c>
      <c r="G355" s="158" t="s">
        <v>52</v>
      </c>
      <c r="H355" s="48">
        <f t="shared" si="79"/>
        <v>5508</v>
      </c>
      <c r="I355" s="42">
        <f>K355*19%</f>
        <v>1292</v>
      </c>
      <c r="J355" s="42">
        <v>0.0</v>
      </c>
      <c r="K355" s="48">
        <v>6800.0</v>
      </c>
      <c r="L355" s="173" t="s">
        <v>137</v>
      </c>
      <c r="M355" s="209" t="s">
        <v>37</v>
      </c>
      <c r="N355" s="61" t="s">
        <v>44</v>
      </c>
      <c r="O355" s="61" t="s">
        <v>668</v>
      </c>
      <c r="P355" s="207" t="s">
        <v>820</v>
      </c>
      <c r="Q355" s="61"/>
      <c r="R355" s="61"/>
      <c r="S355" s="61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</row>
    <row r="356" ht="22.5" customHeight="1">
      <c r="A356" s="123" t="s">
        <v>40</v>
      </c>
      <c r="B356" s="158" t="s">
        <v>48</v>
      </c>
      <c r="C356" s="124">
        <v>10.0</v>
      </c>
      <c r="D356" s="158" t="s">
        <v>810</v>
      </c>
      <c r="E356" s="159">
        <v>46003.0</v>
      </c>
      <c r="F356" s="160" t="s">
        <v>51</v>
      </c>
      <c r="G356" s="158" t="s">
        <v>52</v>
      </c>
      <c r="H356" s="48">
        <f>K356-J356</f>
        <v>205015</v>
      </c>
      <c r="I356" s="42">
        <v>0.0</v>
      </c>
      <c r="J356" s="48">
        <v>44985.0</v>
      </c>
      <c r="K356" s="48">
        <v>250000.0</v>
      </c>
      <c r="L356" s="115" t="s">
        <v>77</v>
      </c>
      <c r="M356" s="51" t="s">
        <v>37</v>
      </c>
      <c r="N356" s="61" t="s">
        <v>46</v>
      </c>
      <c r="O356" s="61" t="s">
        <v>821</v>
      </c>
      <c r="P356" s="207" t="s">
        <v>822</v>
      </c>
      <c r="Q356" s="61"/>
      <c r="R356" s="61"/>
      <c r="S356" s="61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</row>
    <row r="357" ht="22.5" customHeight="1">
      <c r="A357" s="157" t="s">
        <v>69</v>
      </c>
      <c r="B357" s="158" t="s">
        <v>48</v>
      </c>
      <c r="C357" s="158"/>
      <c r="D357" s="158" t="s">
        <v>590</v>
      </c>
      <c r="E357" s="159">
        <v>46003.0</v>
      </c>
      <c r="F357" s="160" t="s">
        <v>51</v>
      </c>
      <c r="G357" s="158" t="s">
        <v>52</v>
      </c>
      <c r="H357" s="48">
        <f t="shared" ref="H357:H365" si="81">K357-I357</f>
        <v>0</v>
      </c>
      <c r="I357" s="42">
        <v>0.0</v>
      </c>
      <c r="J357" s="48">
        <v>127330.0</v>
      </c>
      <c r="K357" s="48"/>
      <c r="L357" s="115" t="s">
        <v>77</v>
      </c>
      <c r="M357" s="51" t="s">
        <v>37</v>
      </c>
      <c r="N357" s="61" t="s">
        <v>46</v>
      </c>
      <c r="O357" s="61" t="s">
        <v>823</v>
      </c>
      <c r="P357" s="61"/>
      <c r="Q357" s="61"/>
      <c r="R357" s="61"/>
      <c r="S357" s="61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</row>
    <row r="358" ht="22.5" customHeight="1">
      <c r="A358" s="157" t="s">
        <v>177</v>
      </c>
      <c r="B358" s="158" t="s">
        <v>48</v>
      </c>
      <c r="C358" s="279">
        <v>5495369.0</v>
      </c>
      <c r="D358" s="158" t="s">
        <v>824</v>
      </c>
      <c r="E358" s="159">
        <v>46002.0</v>
      </c>
      <c r="F358" s="160" t="s">
        <v>51</v>
      </c>
      <c r="G358" s="158" t="s">
        <v>52</v>
      </c>
      <c r="H358" s="48">
        <f t="shared" si="81"/>
        <v>20151</v>
      </c>
      <c r="I358" s="48">
        <v>3829.0</v>
      </c>
      <c r="J358" s="42">
        <v>0.0</v>
      </c>
      <c r="K358" s="48">
        <v>23980.0</v>
      </c>
      <c r="L358" s="173" t="s">
        <v>137</v>
      </c>
      <c r="M358" s="209" t="s">
        <v>37</v>
      </c>
      <c r="N358" s="61" t="s">
        <v>44</v>
      </c>
      <c r="O358" s="61" t="s">
        <v>825</v>
      </c>
      <c r="P358" s="207" t="s">
        <v>826</v>
      </c>
      <c r="Q358" s="61"/>
      <c r="R358" s="61"/>
      <c r="S358" s="61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</row>
    <row r="359" ht="22.5" customHeight="1">
      <c r="A359" s="157" t="s">
        <v>177</v>
      </c>
      <c r="B359" s="158" t="s">
        <v>48</v>
      </c>
      <c r="C359" s="124">
        <v>35.0</v>
      </c>
      <c r="D359" s="158" t="s">
        <v>827</v>
      </c>
      <c r="E359" s="159">
        <v>46000.0</v>
      </c>
      <c r="F359" s="160" t="s">
        <v>51</v>
      </c>
      <c r="G359" s="158" t="s">
        <v>52</v>
      </c>
      <c r="H359" s="48">
        <f t="shared" si="81"/>
        <v>165000</v>
      </c>
      <c r="I359" s="48">
        <v>31350.0</v>
      </c>
      <c r="J359" s="42">
        <v>0.0</v>
      </c>
      <c r="K359" s="48">
        <v>196350.0</v>
      </c>
      <c r="L359" s="173" t="s">
        <v>70</v>
      </c>
      <c r="M359" s="209" t="s">
        <v>35</v>
      </c>
      <c r="N359" s="61" t="s">
        <v>44</v>
      </c>
      <c r="O359" s="61"/>
      <c r="P359" s="207" t="s">
        <v>828</v>
      </c>
      <c r="Q359" s="61"/>
      <c r="R359" s="61"/>
      <c r="S359" s="61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</row>
    <row r="360" ht="22.5" customHeight="1">
      <c r="A360" s="157" t="s">
        <v>177</v>
      </c>
      <c r="B360" s="158" t="s">
        <v>48</v>
      </c>
      <c r="C360" s="61">
        <v>34.0</v>
      </c>
      <c r="D360" s="158" t="s">
        <v>776</v>
      </c>
      <c r="E360" s="159">
        <v>45996.0</v>
      </c>
      <c r="F360" s="160" t="s">
        <v>51</v>
      </c>
      <c r="G360" s="158" t="s">
        <v>52</v>
      </c>
      <c r="H360" s="48">
        <f t="shared" si="81"/>
        <v>1700000</v>
      </c>
      <c r="I360" s="48">
        <v>323000.0</v>
      </c>
      <c r="J360" s="42">
        <v>0.0</v>
      </c>
      <c r="K360" s="48">
        <v>2023000.0</v>
      </c>
      <c r="L360" s="239" t="s">
        <v>76</v>
      </c>
      <c r="M360" s="239" t="s">
        <v>35</v>
      </c>
      <c r="N360" s="61" t="s">
        <v>44</v>
      </c>
      <c r="O360" s="61"/>
      <c r="P360" s="207" t="s">
        <v>829</v>
      </c>
      <c r="Q360" s="61"/>
      <c r="R360" s="61"/>
      <c r="S360" s="61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</row>
    <row r="361" ht="22.5" customHeight="1">
      <c r="A361" s="157" t="s">
        <v>69</v>
      </c>
      <c r="B361" s="158" t="s">
        <v>48</v>
      </c>
      <c r="C361" s="124"/>
      <c r="D361" s="158" t="s">
        <v>830</v>
      </c>
      <c r="E361" s="159">
        <v>45995.0</v>
      </c>
      <c r="F361" s="160" t="s">
        <v>51</v>
      </c>
      <c r="G361" s="158" t="s">
        <v>52</v>
      </c>
      <c r="H361" s="48">
        <f t="shared" si="81"/>
        <v>550000</v>
      </c>
      <c r="I361" s="42">
        <v>0.0</v>
      </c>
      <c r="J361" s="42">
        <v>0.0</v>
      </c>
      <c r="K361" s="48">
        <v>550000.0</v>
      </c>
      <c r="L361" s="115" t="s">
        <v>77</v>
      </c>
      <c r="M361" s="51" t="s">
        <v>37</v>
      </c>
      <c r="N361" s="61" t="s">
        <v>44</v>
      </c>
      <c r="O361" s="61" t="s">
        <v>831</v>
      </c>
      <c r="P361" s="61"/>
      <c r="Q361" s="61"/>
      <c r="R361" s="61"/>
      <c r="S361" s="61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</row>
    <row r="362" ht="22.5" customHeight="1">
      <c r="A362" s="157" t="s">
        <v>177</v>
      </c>
      <c r="B362" s="158" t="s">
        <v>48</v>
      </c>
      <c r="C362" s="61">
        <v>2.0838779E7</v>
      </c>
      <c r="D362" s="158" t="s">
        <v>692</v>
      </c>
      <c r="E362" s="159">
        <v>45995.0</v>
      </c>
      <c r="F362" s="160" t="s">
        <v>51</v>
      </c>
      <c r="G362" s="158" t="s">
        <v>52</v>
      </c>
      <c r="H362" s="48">
        <f t="shared" si="81"/>
        <v>14733</v>
      </c>
      <c r="I362" s="48">
        <v>2799.0</v>
      </c>
      <c r="J362" s="42">
        <v>0.0</v>
      </c>
      <c r="K362" s="48">
        <v>17532.0</v>
      </c>
      <c r="L362" s="115" t="s">
        <v>77</v>
      </c>
      <c r="M362" s="51" t="s">
        <v>37</v>
      </c>
      <c r="N362" s="61" t="s">
        <v>46</v>
      </c>
      <c r="O362" s="61" t="s">
        <v>832</v>
      </c>
      <c r="P362" s="207" t="s">
        <v>833</v>
      </c>
      <c r="Q362" s="61"/>
      <c r="R362" s="61"/>
      <c r="S362" s="61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</row>
    <row r="363" ht="22.5" customHeight="1">
      <c r="A363" s="280" t="s">
        <v>69</v>
      </c>
      <c r="B363" s="61" t="s">
        <v>48</v>
      </c>
      <c r="C363" s="61"/>
      <c r="D363" s="61" t="s">
        <v>834</v>
      </c>
      <c r="E363" s="155">
        <v>45993.0</v>
      </c>
      <c r="F363" s="281" t="s">
        <v>51</v>
      </c>
      <c r="G363" s="61" t="s">
        <v>52</v>
      </c>
      <c r="H363" s="48">
        <f t="shared" si="81"/>
        <v>33307</v>
      </c>
      <c r="I363" s="42">
        <v>0.0</v>
      </c>
      <c r="J363" s="42">
        <v>0.0</v>
      </c>
      <c r="K363" s="48">
        <v>33307.0</v>
      </c>
      <c r="L363" s="173" t="s">
        <v>137</v>
      </c>
      <c r="M363" s="209" t="s">
        <v>37</v>
      </c>
      <c r="N363" s="61" t="s">
        <v>44</v>
      </c>
      <c r="O363" s="61" t="s">
        <v>835</v>
      </c>
      <c r="P363" s="207" t="s">
        <v>836</v>
      </c>
      <c r="Q363" s="207" t="s">
        <v>837</v>
      </c>
      <c r="R363" s="61"/>
      <c r="S363" s="61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</row>
    <row r="364" ht="22.5" customHeight="1">
      <c r="A364" s="157" t="s">
        <v>177</v>
      </c>
      <c r="B364" s="158" t="s">
        <v>48</v>
      </c>
      <c r="C364" s="158">
        <v>9.0</v>
      </c>
      <c r="D364" s="158" t="s">
        <v>573</v>
      </c>
      <c r="E364" s="159">
        <v>45992.0</v>
      </c>
      <c r="F364" s="160" t="s">
        <v>51</v>
      </c>
      <c r="G364" s="158" t="s">
        <v>52</v>
      </c>
      <c r="H364" s="48">
        <f t="shared" si="81"/>
        <v>150000</v>
      </c>
      <c r="I364" s="48">
        <v>28500.0</v>
      </c>
      <c r="J364" s="42">
        <v>0.0</v>
      </c>
      <c r="K364" s="48">
        <v>178500.0</v>
      </c>
      <c r="L364" s="115" t="s">
        <v>77</v>
      </c>
      <c r="M364" s="51" t="s">
        <v>37</v>
      </c>
      <c r="N364" s="61" t="s">
        <v>44</v>
      </c>
      <c r="O364" s="61" t="s">
        <v>838</v>
      </c>
      <c r="P364" s="207" t="s">
        <v>839</v>
      </c>
      <c r="Q364" s="61"/>
      <c r="R364" s="61"/>
      <c r="S364" s="61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</row>
    <row r="365" ht="22.5" customHeight="1">
      <c r="A365" s="157" t="s">
        <v>69</v>
      </c>
      <c r="B365" s="158" t="s">
        <v>48</v>
      </c>
      <c r="C365" s="158"/>
      <c r="D365" s="158" t="s">
        <v>840</v>
      </c>
      <c r="E365" s="159">
        <v>45988.0</v>
      </c>
      <c r="F365" s="160" t="s">
        <v>51</v>
      </c>
      <c r="G365" s="158" t="s">
        <v>52</v>
      </c>
      <c r="H365" s="48">
        <f t="shared" si="81"/>
        <v>32</v>
      </c>
      <c r="I365" s="42">
        <v>0.0</v>
      </c>
      <c r="J365" s="42">
        <v>0.0</v>
      </c>
      <c r="K365" s="48">
        <v>32.0</v>
      </c>
      <c r="L365" s="115" t="s">
        <v>77</v>
      </c>
      <c r="M365" s="51" t="s">
        <v>37</v>
      </c>
      <c r="N365" s="61" t="s">
        <v>44</v>
      </c>
      <c r="O365" s="61" t="s">
        <v>841</v>
      </c>
      <c r="P365" s="61"/>
      <c r="Q365" s="61"/>
      <c r="R365" s="61"/>
      <c r="S365" s="61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</row>
    <row r="366" ht="22.5" customHeight="1">
      <c r="A366" s="157" t="s">
        <v>69</v>
      </c>
      <c r="B366" s="158" t="s">
        <v>48</v>
      </c>
      <c r="C366" s="158"/>
      <c r="D366" s="158" t="s">
        <v>842</v>
      </c>
      <c r="E366" s="159">
        <v>45986.0</v>
      </c>
      <c r="F366" s="160" t="s">
        <v>51</v>
      </c>
      <c r="G366" s="158" t="s">
        <v>52</v>
      </c>
      <c r="H366" s="42">
        <v>0.0</v>
      </c>
      <c r="I366" s="42">
        <v>0.0</v>
      </c>
      <c r="J366" s="42">
        <v>0.0</v>
      </c>
      <c r="K366" s="48">
        <v>700000.0</v>
      </c>
      <c r="L366" s="115" t="s">
        <v>77</v>
      </c>
      <c r="M366" s="51" t="s">
        <v>37</v>
      </c>
      <c r="N366" s="61" t="s">
        <v>44</v>
      </c>
      <c r="O366" s="61" t="s">
        <v>843</v>
      </c>
      <c r="P366" s="207" t="s">
        <v>844</v>
      </c>
      <c r="Q366" s="61"/>
      <c r="R366" s="61"/>
      <c r="S366" s="61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</row>
    <row r="367" ht="22.5" customHeight="1">
      <c r="A367" s="157" t="s">
        <v>177</v>
      </c>
      <c r="B367" s="158" t="s">
        <v>48</v>
      </c>
      <c r="C367" s="158">
        <v>5.2353096E7</v>
      </c>
      <c r="D367" s="158" t="s">
        <v>692</v>
      </c>
      <c r="E367" s="159">
        <v>45986.0</v>
      </c>
      <c r="F367" s="160" t="s">
        <v>51</v>
      </c>
      <c r="G367" s="158" t="s">
        <v>52</v>
      </c>
      <c r="H367" s="48">
        <v>57249.0</v>
      </c>
      <c r="I367" s="48">
        <v>2134.0</v>
      </c>
      <c r="J367" s="42">
        <v>0.0</v>
      </c>
      <c r="K367" s="48">
        <v>59383.0</v>
      </c>
      <c r="L367" s="115" t="s">
        <v>77</v>
      </c>
      <c r="M367" s="51" t="s">
        <v>37</v>
      </c>
      <c r="N367" s="61" t="s">
        <v>46</v>
      </c>
      <c r="O367" s="61" t="s">
        <v>845</v>
      </c>
      <c r="P367" s="207" t="s">
        <v>846</v>
      </c>
      <c r="Q367" s="207" t="s">
        <v>847</v>
      </c>
      <c r="R367" s="207" t="s">
        <v>848</v>
      </c>
      <c r="S367" s="61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</row>
    <row r="368" ht="22.5" customHeight="1">
      <c r="A368" s="157" t="s">
        <v>69</v>
      </c>
      <c r="B368" s="158" t="s">
        <v>48</v>
      </c>
      <c r="C368" s="158"/>
      <c r="D368" s="158" t="s">
        <v>849</v>
      </c>
      <c r="E368" s="159">
        <v>45986.0</v>
      </c>
      <c r="F368" s="160" t="s">
        <v>51</v>
      </c>
      <c r="G368" s="158" t="s">
        <v>52</v>
      </c>
      <c r="H368" s="42">
        <v>0.0</v>
      </c>
      <c r="I368" s="42">
        <v>0.0</v>
      </c>
      <c r="J368" s="42">
        <v>0.0</v>
      </c>
      <c r="K368" s="48">
        <v>330000.0</v>
      </c>
      <c r="L368" s="61" t="s">
        <v>77</v>
      </c>
      <c r="M368" s="31" t="s">
        <v>37</v>
      </c>
      <c r="N368" s="61" t="s">
        <v>46</v>
      </c>
      <c r="O368" s="61" t="s">
        <v>344</v>
      </c>
      <c r="P368" s="282" t="s">
        <v>850</v>
      </c>
      <c r="Q368" s="61"/>
      <c r="R368" s="61"/>
      <c r="S368" s="61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</row>
    <row r="369" ht="22.5" customHeight="1">
      <c r="A369" s="157" t="s">
        <v>69</v>
      </c>
      <c r="B369" s="158" t="s">
        <v>48</v>
      </c>
      <c r="C369" s="158"/>
      <c r="D369" s="158" t="s">
        <v>830</v>
      </c>
      <c r="E369" s="159">
        <v>45986.0</v>
      </c>
      <c r="F369" s="160" t="s">
        <v>51</v>
      </c>
      <c r="G369" s="158" t="s">
        <v>52</v>
      </c>
      <c r="H369" s="42">
        <v>0.0</v>
      </c>
      <c r="I369" s="42">
        <v>0.0</v>
      </c>
      <c r="J369" s="42">
        <v>0.0</v>
      </c>
      <c r="K369" s="48">
        <v>305000.0</v>
      </c>
      <c r="L369" s="61" t="s">
        <v>77</v>
      </c>
      <c r="M369" s="31" t="s">
        <v>37</v>
      </c>
      <c r="N369" s="61" t="s">
        <v>44</v>
      </c>
      <c r="O369" s="61" t="s">
        <v>851</v>
      </c>
      <c r="P369" s="207" t="s">
        <v>852</v>
      </c>
      <c r="Q369" s="61"/>
      <c r="R369" s="61"/>
      <c r="S369" s="61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</row>
    <row r="370" ht="22.5" customHeight="1">
      <c r="A370" s="123" t="s">
        <v>40</v>
      </c>
      <c r="B370" s="158" t="s">
        <v>48</v>
      </c>
      <c r="C370" s="158">
        <v>9.0</v>
      </c>
      <c r="D370" s="158" t="s">
        <v>810</v>
      </c>
      <c r="E370" s="159">
        <v>45985.0</v>
      </c>
      <c r="F370" s="160" t="s">
        <v>51</v>
      </c>
      <c r="G370" s="158" t="s">
        <v>52</v>
      </c>
      <c r="H370" s="48">
        <v>292398.0</v>
      </c>
      <c r="I370" s="42">
        <v>0.0</v>
      </c>
      <c r="J370" s="48">
        <v>42398.0</v>
      </c>
      <c r="K370" s="48">
        <v>250000.0</v>
      </c>
      <c r="L370" s="61" t="s">
        <v>77</v>
      </c>
      <c r="M370" s="31" t="s">
        <v>37</v>
      </c>
      <c r="N370" s="61" t="s">
        <v>46</v>
      </c>
      <c r="O370" s="61" t="s">
        <v>853</v>
      </c>
      <c r="P370" s="207" t="s">
        <v>854</v>
      </c>
      <c r="Q370" s="61"/>
      <c r="R370" s="61"/>
      <c r="S370" s="61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</row>
    <row r="371" ht="22.5" customHeight="1">
      <c r="A371" s="157" t="s">
        <v>177</v>
      </c>
      <c r="B371" s="158" t="s">
        <v>48</v>
      </c>
      <c r="C371" s="158">
        <v>33.0</v>
      </c>
      <c r="D371" s="158" t="s">
        <v>855</v>
      </c>
      <c r="E371" s="159">
        <v>45982.0</v>
      </c>
      <c r="F371" s="160" t="s">
        <v>51</v>
      </c>
      <c r="G371" s="158" t="s">
        <v>52</v>
      </c>
      <c r="H371" s="48">
        <v>2500000.0</v>
      </c>
      <c r="I371" s="48">
        <v>475000.0</v>
      </c>
      <c r="J371" s="42">
        <v>0.0</v>
      </c>
      <c r="K371" s="48">
        <v>2975000.0</v>
      </c>
      <c r="L371" s="207" t="s">
        <v>64</v>
      </c>
      <c r="M371" s="283" t="s">
        <v>35</v>
      </c>
      <c r="N371" s="61" t="s">
        <v>44</v>
      </c>
      <c r="O371" s="61"/>
      <c r="P371" s="207" t="s">
        <v>856</v>
      </c>
      <c r="Q371" s="61"/>
      <c r="R371" s="61"/>
      <c r="S371" s="61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</row>
    <row r="372" ht="22.5" customHeight="1">
      <c r="A372" s="157" t="s">
        <v>69</v>
      </c>
      <c r="B372" s="158" t="s">
        <v>48</v>
      </c>
      <c r="C372" s="158"/>
      <c r="D372" s="158" t="s">
        <v>857</v>
      </c>
      <c r="E372" s="159">
        <v>45982.0</v>
      </c>
      <c r="F372" s="160" t="s">
        <v>51</v>
      </c>
      <c r="G372" s="158" t="s">
        <v>52</v>
      </c>
      <c r="H372" s="42">
        <v>0.0</v>
      </c>
      <c r="I372" s="42">
        <v>0.0</v>
      </c>
      <c r="J372" s="42">
        <v>0.0</v>
      </c>
      <c r="K372" s="48">
        <v>28270.0</v>
      </c>
      <c r="L372" s="61" t="s">
        <v>77</v>
      </c>
      <c r="M372" s="31" t="s">
        <v>37</v>
      </c>
      <c r="N372" s="61" t="s">
        <v>46</v>
      </c>
      <c r="O372" s="61"/>
      <c r="P372" s="207" t="s">
        <v>858</v>
      </c>
      <c r="Q372" s="61"/>
      <c r="R372" s="61"/>
      <c r="S372" s="61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</row>
    <row r="373" ht="22.5" customHeight="1">
      <c r="A373" s="123" t="s">
        <v>40</v>
      </c>
      <c r="B373" s="158" t="s">
        <v>48</v>
      </c>
      <c r="C373" s="158">
        <v>69.0</v>
      </c>
      <c r="D373" s="158" t="s">
        <v>859</v>
      </c>
      <c r="E373" s="159">
        <v>45982.0</v>
      </c>
      <c r="F373" s="160" t="s">
        <v>51</v>
      </c>
      <c r="G373" s="158" t="s">
        <v>52</v>
      </c>
      <c r="H373" s="48">
        <v>513000.0</v>
      </c>
      <c r="I373" s="42">
        <v>0.0</v>
      </c>
      <c r="J373" s="48">
        <v>74385.0</v>
      </c>
      <c r="K373" s="48">
        <v>438615.0</v>
      </c>
      <c r="L373" s="284" t="s">
        <v>97</v>
      </c>
      <c r="M373" s="209" t="s">
        <v>37</v>
      </c>
      <c r="N373" s="61" t="s">
        <v>44</v>
      </c>
      <c r="O373" s="61" t="s">
        <v>860</v>
      </c>
      <c r="P373" s="207" t="s">
        <v>861</v>
      </c>
      <c r="Q373" s="61"/>
      <c r="R373" s="61"/>
      <c r="S373" s="61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</row>
    <row r="374" ht="22.5" customHeight="1">
      <c r="A374" s="157" t="s">
        <v>69</v>
      </c>
      <c r="B374" s="158" t="s">
        <v>48</v>
      </c>
      <c r="C374" s="158">
        <v>8.617104076E9</v>
      </c>
      <c r="D374" s="158" t="s">
        <v>862</v>
      </c>
      <c r="E374" s="159">
        <v>45980.0</v>
      </c>
      <c r="F374" s="160" t="s">
        <v>51</v>
      </c>
      <c r="G374" s="158" t="s">
        <v>52</v>
      </c>
      <c r="H374" s="42">
        <v>0.0</v>
      </c>
      <c r="I374" s="42">
        <v>0.0</v>
      </c>
      <c r="J374" s="42">
        <v>0.0</v>
      </c>
      <c r="K374" s="48">
        <v>423282.0</v>
      </c>
      <c r="L374" s="61" t="s">
        <v>77</v>
      </c>
      <c r="M374" s="31" t="s">
        <v>37</v>
      </c>
      <c r="N374" s="61" t="s">
        <v>44</v>
      </c>
      <c r="O374" s="61" t="s">
        <v>15</v>
      </c>
      <c r="P374" s="161" t="s">
        <v>863</v>
      </c>
      <c r="Q374" s="61"/>
      <c r="R374" s="61"/>
      <c r="S374" s="61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</row>
    <row r="375" ht="22.5" customHeight="1">
      <c r="A375" s="157" t="s">
        <v>69</v>
      </c>
      <c r="B375" s="158" t="s">
        <v>48</v>
      </c>
      <c r="C375" s="158"/>
      <c r="D375" s="158" t="s">
        <v>864</v>
      </c>
      <c r="E375" s="159">
        <v>45980.0</v>
      </c>
      <c r="F375" s="160" t="s">
        <v>51</v>
      </c>
      <c r="G375" s="158" t="s">
        <v>52</v>
      </c>
      <c r="H375" s="42">
        <v>0.0</v>
      </c>
      <c r="I375" s="42">
        <v>0.0</v>
      </c>
      <c r="J375" s="42">
        <v>0.0</v>
      </c>
      <c r="K375" s="48">
        <v>39179.0</v>
      </c>
      <c r="L375" s="61" t="s">
        <v>77</v>
      </c>
      <c r="M375" s="31" t="s">
        <v>37</v>
      </c>
      <c r="N375" s="61" t="s">
        <v>46</v>
      </c>
      <c r="O375" s="61" t="s">
        <v>717</v>
      </c>
      <c r="P375" s="61"/>
      <c r="Q375" s="61"/>
      <c r="R375" s="61"/>
      <c r="S375" s="61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</row>
    <row r="376" ht="22.5" customHeight="1">
      <c r="A376" s="157" t="s">
        <v>69</v>
      </c>
      <c r="B376" s="158" t="s">
        <v>48</v>
      </c>
      <c r="C376" s="158"/>
      <c r="D376" s="158" t="s">
        <v>865</v>
      </c>
      <c r="E376" s="159">
        <v>45975.0</v>
      </c>
      <c r="F376" s="160" t="s">
        <v>51</v>
      </c>
      <c r="G376" s="158" t="s">
        <v>52</v>
      </c>
      <c r="H376" s="42">
        <v>0.0</v>
      </c>
      <c r="I376" s="42">
        <v>0.0</v>
      </c>
      <c r="J376" s="42">
        <v>0.0</v>
      </c>
      <c r="K376" s="48">
        <v>22330.0</v>
      </c>
      <c r="L376" s="61" t="s">
        <v>77</v>
      </c>
      <c r="M376" s="31" t="s">
        <v>37</v>
      </c>
      <c r="N376" s="61" t="s">
        <v>44</v>
      </c>
      <c r="O376" s="61"/>
      <c r="P376" s="207" t="s">
        <v>866</v>
      </c>
      <c r="Q376" s="61"/>
      <c r="R376" s="61"/>
      <c r="S376" s="61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</row>
    <row r="377" ht="22.5" customHeight="1">
      <c r="A377" s="157" t="s">
        <v>177</v>
      </c>
      <c r="B377" s="158" t="s">
        <v>48</v>
      </c>
      <c r="C377" s="158">
        <v>5.0</v>
      </c>
      <c r="D377" s="158" t="s">
        <v>330</v>
      </c>
      <c r="E377" s="159">
        <v>45971.0</v>
      </c>
      <c r="F377" s="160" t="s">
        <v>51</v>
      </c>
      <c r="G377" s="158" t="s">
        <v>52</v>
      </c>
      <c r="H377" s="48">
        <v>150000.0</v>
      </c>
      <c r="I377" s="48">
        <v>28500.0</v>
      </c>
      <c r="J377" s="42">
        <v>0.0</v>
      </c>
      <c r="K377" s="48">
        <v>178500.0</v>
      </c>
      <c r="L377" s="61" t="s">
        <v>77</v>
      </c>
      <c r="M377" s="31" t="s">
        <v>37</v>
      </c>
      <c r="N377" s="61" t="s">
        <v>44</v>
      </c>
      <c r="O377" s="61" t="s">
        <v>867</v>
      </c>
      <c r="P377" s="207" t="s">
        <v>868</v>
      </c>
      <c r="Q377" s="61"/>
      <c r="R377" s="61"/>
      <c r="S377" s="61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</row>
    <row r="378" ht="22.5" customHeight="1">
      <c r="A378" s="157" t="s">
        <v>69</v>
      </c>
      <c r="B378" s="158" t="s">
        <v>48</v>
      </c>
      <c r="C378" s="158"/>
      <c r="D378" s="158" t="s">
        <v>869</v>
      </c>
      <c r="E378" s="159">
        <v>45967.0</v>
      </c>
      <c r="F378" s="160" t="s">
        <v>51</v>
      </c>
      <c r="G378" s="158" t="s">
        <v>52</v>
      </c>
      <c r="H378" s="42">
        <v>0.0</v>
      </c>
      <c r="I378" s="42">
        <v>0.0</v>
      </c>
      <c r="J378" s="42">
        <v>0.0</v>
      </c>
      <c r="K378" s="48">
        <v>500000.0</v>
      </c>
      <c r="L378" s="61" t="s">
        <v>77</v>
      </c>
      <c r="M378" s="31" t="s">
        <v>37</v>
      </c>
      <c r="N378" s="61" t="s">
        <v>44</v>
      </c>
      <c r="O378" s="61" t="s">
        <v>870</v>
      </c>
      <c r="P378" s="61"/>
      <c r="Q378" s="61"/>
      <c r="R378" s="61"/>
      <c r="S378" s="61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</row>
    <row r="379" ht="22.5" customHeight="1">
      <c r="A379" s="157" t="s">
        <v>69</v>
      </c>
      <c r="B379" s="158" t="s">
        <v>48</v>
      </c>
      <c r="C379" s="158"/>
      <c r="D379" s="158" t="s">
        <v>871</v>
      </c>
      <c r="E379" s="159">
        <v>45967.0</v>
      </c>
      <c r="F379" s="160" t="s">
        <v>51</v>
      </c>
      <c r="G379" s="158" t="s">
        <v>52</v>
      </c>
      <c r="H379" s="42">
        <v>0.0</v>
      </c>
      <c r="I379" s="42">
        <v>0.0</v>
      </c>
      <c r="J379" s="42">
        <v>0.0</v>
      </c>
      <c r="K379" s="48">
        <v>294621.0</v>
      </c>
      <c r="L379" s="61" t="s">
        <v>77</v>
      </c>
      <c r="M379" s="31" t="s">
        <v>37</v>
      </c>
      <c r="N379" s="61" t="s">
        <v>44</v>
      </c>
      <c r="O379" s="61" t="s">
        <v>542</v>
      </c>
      <c r="P379" s="207" t="s">
        <v>872</v>
      </c>
      <c r="Q379" s="61"/>
      <c r="R379" s="61"/>
      <c r="S379" s="61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</row>
    <row r="380" ht="22.5" customHeight="1">
      <c r="A380" s="157" t="s">
        <v>69</v>
      </c>
      <c r="B380" s="158" t="s">
        <v>48</v>
      </c>
      <c r="C380" s="158"/>
      <c r="D380" s="158" t="s">
        <v>873</v>
      </c>
      <c r="E380" s="159">
        <v>45967.0</v>
      </c>
      <c r="F380" s="160" t="s">
        <v>51</v>
      </c>
      <c r="G380" s="158" t="s">
        <v>52</v>
      </c>
      <c r="H380" s="42">
        <v>0.0</v>
      </c>
      <c r="I380" s="42">
        <v>0.0</v>
      </c>
      <c r="J380" s="42">
        <v>0.0</v>
      </c>
      <c r="K380" s="48">
        <v>58750.0</v>
      </c>
      <c r="L380" s="61" t="s">
        <v>77</v>
      </c>
      <c r="M380" s="31" t="s">
        <v>37</v>
      </c>
      <c r="N380" s="61" t="s">
        <v>46</v>
      </c>
      <c r="O380" s="61" t="s">
        <v>874</v>
      </c>
      <c r="P380" s="207" t="s">
        <v>875</v>
      </c>
      <c r="Q380" s="61"/>
      <c r="R380" s="61"/>
      <c r="S380" s="61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</row>
    <row r="381" ht="22.5" customHeight="1">
      <c r="A381" s="220" t="s">
        <v>177</v>
      </c>
      <c r="B381" s="231" t="s">
        <v>48</v>
      </c>
      <c r="C381" s="231">
        <v>2.0764256E7</v>
      </c>
      <c r="D381" s="231" t="s">
        <v>876</v>
      </c>
      <c r="E381" s="232">
        <v>45966.0</v>
      </c>
      <c r="F381" s="233" t="s">
        <v>51</v>
      </c>
      <c r="G381" s="231" t="s">
        <v>52</v>
      </c>
      <c r="H381" s="48">
        <v>14689.0</v>
      </c>
      <c r="I381" s="48">
        <v>2791.0</v>
      </c>
      <c r="J381" s="42">
        <v>0.0</v>
      </c>
      <c r="K381" s="224">
        <v>17480.0</v>
      </c>
      <c r="L381" s="227" t="s">
        <v>77</v>
      </c>
      <c r="M381" s="31" t="s">
        <v>37</v>
      </c>
      <c r="N381" s="227" t="s">
        <v>46</v>
      </c>
      <c r="O381" s="227" t="s">
        <v>877</v>
      </c>
      <c r="P381" s="228" t="s">
        <v>878</v>
      </c>
      <c r="Q381" s="227"/>
      <c r="R381" s="227"/>
      <c r="S381" s="227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</row>
    <row r="382" ht="22.5" customHeight="1">
      <c r="A382" s="157" t="s">
        <v>177</v>
      </c>
      <c r="B382" s="158" t="s">
        <v>48</v>
      </c>
      <c r="C382" s="158">
        <v>2.0721044E7</v>
      </c>
      <c r="D382" s="158" t="s">
        <v>876</v>
      </c>
      <c r="E382" s="159">
        <v>45966.0</v>
      </c>
      <c r="F382" s="160" t="s">
        <v>51</v>
      </c>
      <c r="G382" s="158" t="s">
        <v>52</v>
      </c>
      <c r="H382" s="48">
        <v>4738.0</v>
      </c>
      <c r="I382" s="48">
        <v>900.0</v>
      </c>
      <c r="J382" s="42">
        <v>0.0</v>
      </c>
      <c r="K382" s="48">
        <v>5638.0</v>
      </c>
      <c r="L382" s="61" t="s">
        <v>77</v>
      </c>
      <c r="M382" s="31" t="s">
        <v>37</v>
      </c>
      <c r="N382" s="61" t="s">
        <v>46</v>
      </c>
      <c r="O382" s="61" t="s">
        <v>877</v>
      </c>
      <c r="P382" s="207" t="s">
        <v>879</v>
      </c>
      <c r="Q382" s="61"/>
      <c r="R382" s="61"/>
      <c r="S382" s="61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</row>
    <row r="383" ht="22.5" customHeight="1">
      <c r="A383" s="229" t="s">
        <v>177</v>
      </c>
      <c r="B383" s="211" t="s">
        <v>48</v>
      </c>
      <c r="C383" s="211">
        <v>5.1897855E7</v>
      </c>
      <c r="D383" s="211" t="s">
        <v>876</v>
      </c>
      <c r="E383" s="212">
        <v>45966.0</v>
      </c>
      <c r="F383" s="213" t="s">
        <v>51</v>
      </c>
      <c r="G383" s="211" t="s">
        <v>52</v>
      </c>
      <c r="H383" s="215">
        <v>43359.0</v>
      </c>
      <c r="I383" s="215">
        <v>1899.0</v>
      </c>
      <c r="J383" s="42">
        <v>0.0</v>
      </c>
      <c r="K383" s="215">
        <v>45258.0</v>
      </c>
      <c r="L383" s="217" t="s">
        <v>77</v>
      </c>
      <c r="M383" s="285" t="s">
        <v>37</v>
      </c>
      <c r="N383" s="217" t="s">
        <v>46</v>
      </c>
      <c r="O383" s="217" t="s">
        <v>880</v>
      </c>
      <c r="P383" s="218" t="s">
        <v>881</v>
      </c>
      <c r="Q383" s="217"/>
      <c r="R383" s="217"/>
      <c r="S383" s="217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</row>
    <row r="384" ht="22.5" customHeight="1">
      <c r="A384" s="123" t="s">
        <v>40</v>
      </c>
      <c r="B384" s="158" t="s">
        <v>48</v>
      </c>
      <c r="C384" s="158">
        <v>180.0</v>
      </c>
      <c r="D384" s="158" t="s">
        <v>882</v>
      </c>
      <c r="E384" s="159">
        <v>45966.0</v>
      </c>
      <c r="F384" s="160" t="s">
        <v>51</v>
      </c>
      <c r="G384" s="158" t="s">
        <v>52</v>
      </c>
      <c r="H384" s="48">
        <v>128250.0</v>
      </c>
      <c r="I384" s="42">
        <v>0.0</v>
      </c>
      <c r="J384" s="48">
        <v>21750.0</v>
      </c>
      <c r="K384" s="48">
        <v>128250.0</v>
      </c>
      <c r="L384" s="284" t="s">
        <v>97</v>
      </c>
      <c r="M384" s="209" t="s">
        <v>37</v>
      </c>
      <c r="N384" s="61" t="s">
        <v>44</v>
      </c>
      <c r="O384" s="61" t="s">
        <v>883</v>
      </c>
      <c r="P384" s="207" t="s">
        <v>884</v>
      </c>
      <c r="Q384" s="61"/>
      <c r="R384" s="61"/>
      <c r="S384" s="61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</row>
    <row r="385" ht="22.5" customHeight="1">
      <c r="A385" s="157" t="s">
        <v>69</v>
      </c>
      <c r="B385" s="158" t="s">
        <v>48</v>
      </c>
      <c r="C385" s="158"/>
      <c r="D385" s="158" t="s">
        <v>869</v>
      </c>
      <c r="E385" s="159">
        <v>45966.0</v>
      </c>
      <c r="F385" s="160" t="s">
        <v>601</v>
      </c>
      <c r="G385" s="158" t="s">
        <v>52</v>
      </c>
      <c r="H385" s="42">
        <v>0.0</v>
      </c>
      <c r="I385" s="42">
        <v>0.0</v>
      </c>
      <c r="J385" s="42">
        <v>0.0</v>
      </c>
      <c r="K385" s="48">
        <v>1881953.0</v>
      </c>
      <c r="L385" s="286" t="s">
        <v>77</v>
      </c>
      <c r="M385" s="287" t="s">
        <v>37</v>
      </c>
      <c r="N385" s="61" t="s">
        <v>47</v>
      </c>
      <c r="O385" s="61"/>
      <c r="P385" s="61"/>
      <c r="Q385" s="61"/>
      <c r="R385" s="61"/>
      <c r="S385" s="61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</row>
    <row r="386" ht="22.5" customHeight="1">
      <c r="A386" s="157" t="s">
        <v>177</v>
      </c>
      <c r="B386" s="158" t="s">
        <v>48</v>
      </c>
      <c r="C386" s="158">
        <v>27.0</v>
      </c>
      <c r="D386" s="158" t="s">
        <v>885</v>
      </c>
      <c r="E386" s="159">
        <v>45966.0</v>
      </c>
      <c r="F386" s="160" t="s">
        <v>51</v>
      </c>
      <c r="G386" s="158" t="s">
        <v>52</v>
      </c>
      <c r="H386" s="48">
        <v>165000.0</v>
      </c>
      <c r="I386" s="48">
        <v>31350.0</v>
      </c>
      <c r="J386" s="42">
        <v>0.0</v>
      </c>
      <c r="K386" s="48">
        <v>196350.0</v>
      </c>
      <c r="L386" s="173" t="s">
        <v>70</v>
      </c>
      <c r="M386" s="209" t="s">
        <v>35</v>
      </c>
      <c r="N386" s="61" t="s">
        <v>44</v>
      </c>
      <c r="O386" s="61" t="s">
        <v>886</v>
      </c>
      <c r="P386" s="207" t="s">
        <v>887</v>
      </c>
      <c r="Q386" s="61"/>
      <c r="R386" s="61"/>
      <c r="S386" s="61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</row>
    <row r="387" ht="22.5" customHeight="1">
      <c r="A387" s="157" t="s">
        <v>177</v>
      </c>
      <c r="B387" s="158" t="s">
        <v>48</v>
      </c>
      <c r="C387" s="158">
        <v>183.0</v>
      </c>
      <c r="D387" s="158" t="s">
        <v>888</v>
      </c>
      <c r="E387" s="159">
        <v>45966.0</v>
      </c>
      <c r="F387" s="160" t="s">
        <v>51</v>
      </c>
      <c r="G387" s="158" t="s">
        <v>52</v>
      </c>
      <c r="H387" s="48">
        <v>156000.0</v>
      </c>
      <c r="I387" s="48">
        <v>29640.0</v>
      </c>
      <c r="J387" s="42">
        <v>0.0</v>
      </c>
      <c r="K387" s="48">
        <v>185640.0</v>
      </c>
      <c r="L387" s="284" t="s">
        <v>97</v>
      </c>
      <c r="M387" s="209" t="s">
        <v>37</v>
      </c>
      <c r="N387" s="61" t="s">
        <v>44</v>
      </c>
      <c r="O387" s="61" t="s">
        <v>889</v>
      </c>
      <c r="P387" s="207" t="s">
        <v>890</v>
      </c>
      <c r="Q387" s="61"/>
      <c r="R387" s="61"/>
      <c r="S387" s="61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</row>
    <row r="388" ht="22.5" customHeight="1">
      <c r="A388" s="157" t="s">
        <v>177</v>
      </c>
      <c r="B388" s="158" t="s">
        <v>48</v>
      </c>
      <c r="C388" s="158">
        <v>68.0</v>
      </c>
      <c r="D388" s="158" t="s">
        <v>891</v>
      </c>
      <c r="E388" s="159">
        <v>45966.0</v>
      </c>
      <c r="F388" s="160" t="s">
        <v>51</v>
      </c>
      <c r="G388" s="158" t="s">
        <v>52</v>
      </c>
      <c r="H388" s="48">
        <v>300000.0</v>
      </c>
      <c r="I388" s="48">
        <v>57000.0</v>
      </c>
      <c r="J388" s="42">
        <v>0.0</v>
      </c>
      <c r="K388" s="48">
        <v>357000.0</v>
      </c>
      <c r="L388" s="284" t="s">
        <v>97</v>
      </c>
      <c r="M388" s="209" t="s">
        <v>37</v>
      </c>
      <c r="N388" s="61" t="s">
        <v>44</v>
      </c>
      <c r="O388" s="61" t="s">
        <v>892</v>
      </c>
      <c r="P388" s="207" t="s">
        <v>893</v>
      </c>
      <c r="Q388" s="61"/>
      <c r="R388" s="61"/>
      <c r="S388" s="61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</row>
    <row r="389" ht="22.5" customHeight="1">
      <c r="A389" s="157" t="s">
        <v>148</v>
      </c>
      <c r="B389" s="158" t="s">
        <v>48</v>
      </c>
      <c r="C389" s="158"/>
      <c r="D389" s="158" t="s">
        <v>894</v>
      </c>
      <c r="E389" s="159">
        <v>45965.0</v>
      </c>
      <c r="F389" s="160" t="s">
        <v>51</v>
      </c>
      <c r="G389" s="158" t="s">
        <v>52</v>
      </c>
      <c r="H389" s="48">
        <f>K389-I389</f>
        <v>1158.3</v>
      </c>
      <c r="I389" s="42">
        <f>K389*19%</f>
        <v>271.7</v>
      </c>
      <c r="J389" s="42">
        <v>0.0</v>
      </c>
      <c r="K389" s="48">
        <v>1430.0</v>
      </c>
      <c r="L389" s="61" t="s">
        <v>77</v>
      </c>
      <c r="M389" s="31" t="s">
        <v>37</v>
      </c>
      <c r="N389" s="61" t="s">
        <v>44</v>
      </c>
      <c r="O389" s="61"/>
      <c r="P389" s="61"/>
      <c r="Q389" s="61"/>
      <c r="R389" s="61"/>
      <c r="S389" s="61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</row>
    <row r="390" ht="22.5" customHeight="1">
      <c r="A390" s="157" t="s">
        <v>177</v>
      </c>
      <c r="B390" s="158" t="s">
        <v>48</v>
      </c>
      <c r="C390" s="158">
        <v>29.0</v>
      </c>
      <c r="D390" s="158" t="s">
        <v>885</v>
      </c>
      <c r="E390" s="159">
        <v>45964.0</v>
      </c>
      <c r="F390" s="160" t="s">
        <v>51</v>
      </c>
      <c r="G390" s="158" t="s">
        <v>52</v>
      </c>
      <c r="H390" s="48">
        <v>550000.0</v>
      </c>
      <c r="I390" s="48">
        <v>104500.0</v>
      </c>
      <c r="J390" s="42">
        <v>0.0</v>
      </c>
      <c r="K390" s="48">
        <v>654500.0</v>
      </c>
      <c r="L390" s="207" t="s">
        <v>78</v>
      </c>
      <c r="M390" s="283" t="s">
        <v>35</v>
      </c>
      <c r="N390" s="61" t="s">
        <v>44</v>
      </c>
      <c r="O390" s="61"/>
      <c r="P390" s="207" t="s">
        <v>895</v>
      </c>
      <c r="Q390" s="61"/>
      <c r="R390" s="61"/>
      <c r="S390" s="61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</row>
    <row r="391" ht="22.5" customHeight="1">
      <c r="A391" s="123" t="s">
        <v>40</v>
      </c>
      <c r="B391" s="158" t="s">
        <v>48</v>
      </c>
      <c r="C391" s="158">
        <v>68.0</v>
      </c>
      <c r="D391" s="158" t="s">
        <v>896</v>
      </c>
      <c r="E391" s="159">
        <v>45964.0</v>
      </c>
      <c r="F391" s="160" t="s">
        <v>51</v>
      </c>
      <c r="G391" s="158" t="s">
        <v>52</v>
      </c>
      <c r="H391" s="48">
        <v>1350000.0</v>
      </c>
      <c r="I391" s="42">
        <v>0.0</v>
      </c>
      <c r="J391" s="48">
        <v>228947.0</v>
      </c>
      <c r="K391" s="48">
        <f>H391+J391</f>
        <v>1578947</v>
      </c>
      <c r="L391" s="207" t="s">
        <v>76</v>
      </c>
      <c r="M391" s="283" t="s">
        <v>37</v>
      </c>
      <c r="N391" s="61" t="s">
        <v>44</v>
      </c>
      <c r="O391" s="61" t="s">
        <v>897</v>
      </c>
      <c r="P391" s="207" t="s">
        <v>898</v>
      </c>
      <c r="Q391" s="61"/>
      <c r="R391" s="61"/>
      <c r="S391" s="61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</row>
    <row r="392" ht="22.5" customHeight="1">
      <c r="A392" s="157" t="s">
        <v>69</v>
      </c>
      <c r="B392" s="158" t="s">
        <v>48</v>
      </c>
      <c r="C392" s="158"/>
      <c r="D392" s="158" t="s">
        <v>869</v>
      </c>
      <c r="E392" s="159">
        <v>45964.0</v>
      </c>
      <c r="F392" s="160" t="s">
        <v>601</v>
      </c>
      <c r="G392" s="158" t="s">
        <v>52</v>
      </c>
      <c r="H392" s="42">
        <v>0.0</v>
      </c>
      <c r="I392" s="42">
        <v>0.0</v>
      </c>
      <c r="J392" s="42">
        <v>0.0</v>
      </c>
      <c r="K392" s="48">
        <v>700000.0</v>
      </c>
      <c r="L392" s="61" t="s">
        <v>77</v>
      </c>
      <c r="M392" s="31" t="s">
        <v>37</v>
      </c>
      <c r="N392" s="61" t="s">
        <v>44</v>
      </c>
      <c r="O392" s="61" t="s">
        <v>142</v>
      </c>
      <c r="P392" s="61"/>
      <c r="Q392" s="61"/>
      <c r="R392" s="61"/>
      <c r="S392" s="61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</row>
    <row r="393" ht="22.5" customHeight="1">
      <c r="A393" s="157" t="s">
        <v>69</v>
      </c>
      <c r="B393" s="158" t="s">
        <v>48</v>
      </c>
      <c r="C393" s="158"/>
      <c r="D393" s="158" t="s">
        <v>869</v>
      </c>
      <c r="E393" s="159">
        <v>45964.0</v>
      </c>
      <c r="F393" s="160" t="s">
        <v>601</v>
      </c>
      <c r="G393" s="158" t="s">
        <v>52</v>
      </c>
      <c r="H393" s="42">
        <v>0.0</v>
      </c>
      <c r="I393" s="42">
        <v>0.0</v>
      </c>
      <c r="J393" s="42">
        <v>0.0</v>
      </c>
      <c r="K393" s="48">
        <v>250000.0</v>
      </c>
      <c r="L393" s="61" t="s">
        <v>77</v>
      </c>
      <c r="M393" s="31" t="s">
        <v>37</v>
      </c>
      <c r="N393" s="61" t="s">
        <v>44</v>
      </c>
      <c r="O393" s="61" t="s">
        <v>142</v>
      </c>
      <c r="P393" s="61"/>
      <c r="Q393" s="61"/>
      <c r="R393" s="61"/>
      <c r="S393" s="61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</row>
    <row r="394" ht="22.5" customHeight="1">
      <c r="A394" s="157" t="s">
        <v>177</v>
      </c>
      <c r="B394" s="158" t="s">
        <v>48</v>
      </c>
      <c r="C394" s="158">
        <v>28.0</v>
      </c>
      <c r="D394" s="158" t="s">
        <v>885</v>
      </c>
      <c r="E394" s="159">
        <v>45960.0</v>
      </c>
      <c r="F394" s="160" t="s">
        <v>51</v>
      </c>
      <c r="G394" s="158" t="s">
        <v>52</v>
      </c>
      <c r="H394" s="48">
        <v>420168.0</v>
      </c>
      <c r="I394" s="48">
        <v>79832.0</v>
      </c>
      <c r="J394" s="42">
        <v>0.0</v>
      </c>
      <c r="K394" s="48">
        <v>500000.0</v>
      </c>
      <c r="L394" s="207" t="s">
        <v>74</v>
      </c>
      <c r="M394" s="283" t="s">
        <v>35</v>
      </c>
      <c r="N394" s="61" t="s">
        <v>44</v>
      </c>
      <c r="O394" s="61"/>
      <c r="P394" s="207" t="s">
        <v>899</v>
      </c>
      <c r="Q394" s="61"/>
      <c r="R394" s="61"/>
      <c r="S394" s="61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</row>
    <row r="395" ht="22.5" customHeight="1">
      <c r="A395" s="123" t="s">
        <v>40</v>
      </c>
      <c r="B395" s="158" t="s">
        <v>48</v>
      </c>
      <c r="C395" s="158">
        <v>54.0</v>
      </c>
      <c r="D395" s="158" t="s">
        <v>900</v>
      </c>
      <c r="E395" s="159">
        <v>45959.0</v>
      </c>
      <c r="F395" s="160" t="s">
        <v>51</v>
      </c>
      <c r="G395" s="158" t="s">
        <v>52</v>
      </c>
      <c r="H395" s="48">
        <v>100000.0</v>
      </c>
      <c r="I395" s="42">
        <v>0.0</v>
      </c>
      <c r="J395" s="48">
        <v>16959.0</v>
      </c>
      <c r="K395" s="48">
        <f>J395+H395</f>
        <v>116959</v>
      </c>
      <c r="L395" s="207" t="s">
        <v>76</v>
      </c>
      <c r="M395" s="283" t="s">
        <v>37</v>
      </c>
      <c r="N395" s="61" t="s">
        <v>44</v>
      </c>
      <c r="O395" s="61" t="s">
        <v>901</v>
      </c>
      <c r="P395" s="207" t="s">
        <v>902</v>
      </c>
      <c r="Q395" s="61"/>
      <c r="R395" s="61"/>
      <c r="S395" s="61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</row>
    <row r="396" ht="22.5" customHeight="1">
      <c r="A396" s="157" t="s">
        <v>69</v>
      </c>
      <c r="B396" s="158" t="s">
        <v>48</v>
      </c>
      <c r="C396" s="158"/>
      <c r="D396" s="158" t="s">
        <v>869</v>
      </c>
      <c r="E396" s="159">
        <v>45959.0</v>
      </c>
      <c r="F396" s="160" t="s">
        <v>601</v>
      </c>
      <c r="G396" s="158" t="s">
        <v>52</v>
      </c>
      <c r="H396" s="42">
        <v>0.0</v>
      </c>
      <c r="I396" s="42">
        <v>0.0</v>
      </c>
      <c r="J396" s="42">
        <v>0.0</v>
      </c>
      <c r="K396" s="48">
        <v>300000.0</v>
      </c>
      <c r="L396" s="61" t="s">
        <v>77</v>
      </c>
      <c r="M396" s="31" t="s">
        <v>37</v>
      </c>
      <c r="N396" s="61" t="s">
        <v>44</v>
      </c>
      <c r="O396" s="61" t="s">
        <v>142</v>
      </c>
      <c r="P396" s="61"/>
      <c r="Q396" s="61"/>
      <c r="R396" s="61"/>
      <c r="S396" s="61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</row>
    <row r="397" ht="22.5" customHeight="1">
      <c r="A397" s="157" t="s">
        <v>69</v>
      </c>
      <c r="B397" s="158" t="s">
        <v>48</v>
      </c>
      <c r="C397" s="158"/>
      <c r="D397" s="158" t="s">
        <v>903</v>
      </c>
      <c r="E397" s="159">
        <v>45958.0</v>
      </c>
      <c r="F397" s="160" t="s">
        <v>51</v>
      </c>
      <c r="G397" s="158" t="s">
        <v>52</v>
      </c>
      <c r="H397" s="42">
        <v>0.0</v>
      </c>
      <c r="I397" s="48">
        <v>0.0</v>
      </c>
      <c r="J397" s="42">
        <v>0.0</v>
      </c>
      <c r="K397" s="48">
        <v>28192.0</v>
      </c>
      <c r="L397" s="61" t="s">
        <v>77</v>
      </c>
      <c r="M397" s="31" t="s">
        <v>37</v>
      </c>
      <c r="N397" s="61" t="s">
        <v>46</v>
      </c>
      <c r="O397" s="61" t="s">
        <v>904</v>
      </c>
      <c r="P397" s="207" t="s">
        <v>905</v>
      </c>
      <c r="Q397" s="61"/>
      <c r="R397" s="61"/>
      <c r="S397" s="61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</row>
    <row r="398" ht="22.5" customHeight="1">
      <c r="A398" s="157" t="s">
        <v>69</v>
      </c>
      <c r="B398" s="158" t="s">
        <v>48</v>
      </c>
      <c r="C398" s="158"/>
      <c r="D398" s="158" t="s">
        <v>906</v>
      </c>
      <c r="E398" s="159">
        <v>45951.0</v>
      </c>
      <c r="F398" s="160" t="s">
        <v>51</v>
      </c>
      <c r="G398" s="158" t="s">
        <v>52</v>
      </c>
      <c r="H398" s="48">
        <v>0.0</v>
      </c>
      <c r="I398" s="48">
        <v>0.0</v>
      </c>
      <c r="J398" s="42">
        <v>0.0</v>
      </c>
      <c r="K398" s="48">
        <v>291875.0</v>
      </c>
      <c r="L398" s="61" t="s">
        <v>77</v>
      </c>
      <c r="M398" s="31" t="s">
        <v>37</v>
      </c>
      <c r="N398" s="61" t="s">
        <v>46</v>
      </c>
      <c r="O398" s="61" t="s">
        <v>907</v>
      </c>
      <c r="P398" s="207" t="s">
        <v>908</v>
      </c>
      <c r="Q398" s="61"/>
      <c r="R398" s="61"/>
      <c r="S398" s="61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</row>
    <row r="399" ht="22.5" customHeight="1">
      <c r="A399" s="157" t="s">
        <v>69</v>
      </c>
      <c r="B399" s="158" t="s">
        <v>48</v>
      </c>
      <c r="C399" s="158"/>
      <c r="D399" s="158" t="s">
        <v>869</v>
      </c>
      <c r="E399" s="159">
        <v>45951.0</v>
      </c>
      <c r="F399" s="160" t="s">
        <v>601</v>
      </c>
      <c r="G399" s="158" t="s">
        <v>52</v>
      </c>
      <c r="H399" s="48">
        <v>0.0</v>
      </c>
      <c r="I399" s="48">
        <v>0.0</v>
      </c>
      <c r="J399" s="42">
        <v>0.0</v>
      </c>
      <c r="K399" s="48">
        <v>81196.0</v>
      </c>
      <c r="L399" s="61" t="s">
        <v>77</v>
      </c>
      <c r="M399" s="31" t="s">
        <v>37</v>
      </c>
      <c r="N399" s="61" t="s">
        <v>44</v>
      </c>
      <c r="O399" s="61" t="s">
        <v>142</v>
      </c>
      <c r="P399" s="61"/>
      <c r="Q399" s="61"/>
      <c r="R399" s="61"/>
      <c r="S399" s="61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</row>
    <row r="400" ht="22.5" customHeight="1">
      <c r="A400" s="157" t="s">
        <v>69</v>
      </c>
      <c r="B400" s="158" t="s">
        <v>48</v>
      </c>
      <c r="C400" s="158"/>
      <c r="D400" s="158" t="s">
        <v>869</v>
      </c>
      <c r="E400" s="159">
        <v>45951.0</v>
      </c>
      <c r="F400" s="160" t="s">
        <v>601</v>
      </c>
      <c r="G400" s="158" t="s">
        <v>52</v>
      </c>
      <c r="H400" s="48">
        <v>0.0</v>
      </c>
      <c r="I400" s="48">
        <v>0.0</v>
      </c>
      <c r="J400" s="42">
        <v>0.0</v>
      </c>
      <c r="K400" s="48">
        <v>85790.0</v>
      </c>
      <c r="L400" s="61" t="s">
        <v>77</v>
      </c>
      <c r="M400" s="31" t="s">
        <v>37</v>
      </c>
      <c r="N400" s="61" t="s">
        <v>44</v>
      </c>
      <c r="O400" s="61" t="s">
        <v>142</v>
      </c>
      <c r="P400" s="61"/>
      <c r="Q400" s="61"/>
      <c r="R400" s="61"/>
      <c r="S400" s="61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</row>
    <row r="401" ht="22.5" customHeight="1">
      <c r="A401" s="157" t="s">
        <v>148</v>
      </c>
      <c r="B401" s="158" t="s">
        <v>48</v>
      </c>
      <c r="C401" s="158">
        <v>1.9418116E7</v>
      </c>
      <c r="D401" s="158" t="s">
        <v>909</v>
      </c>
      <c r="E401" s="159">
        <v>45951.0</v>
      </c>
      <c r="F401" s="160" t="s">
        <v>51</v>
      </c>
      <c r="G401" s="158" t="s">
        <v>52</v>
      </c>
      <c r="H401" s="48">
        <f>K401-I401</f>
        <v>10099.89</v>
      </c>
      <c r="I401" s="42">
        <f>K401*19%</f>
        <v>2369.11</v>
      </c>
      <c r="J401" s="42">
        <v>0.0</v>
      </c>
      <c r="K401" s="48">
        <v>12469.0</v>
      </c>
      <c r="L401" s="61" t="s">
        <v>77</v>
      </c>
      <c r="M401" s="31" t="s">
        <v>37</v>
      </c>
      <c r="N401" s="61" t="s">
        <v>46</v>
      </c>
      <c r="O401" s="61" t="s">
        <v>910</v>
      </c>
      <c r="P401" s="207" t="s">
        <v>911</v>
      </c>
      <c r="Q401" s="61"/>
      <c r="R401" s="61"/>
      <c r="S401" s="61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</row>
    <row r="402" ht="22.5" customHeight="1">
      <c r="A402" s="157" t="s">
        <v>177</v>
      </c>
      <c r="B402" s="158" t="s">
        <v>48</v>
      </c>
      <c r="C402" s="158">
        <v>2.0698619E7</v>
      </c>
      <c r="D402" s="158" t="s">
        <v>876</v>
      </c>
      <c r="E402" s="159">
        <v>45951.0</v>
      </c>
      <c r="F402" s="160" t="s">
        <v>51</v>
      </c>
      <c r="G402" s="158" t="s">
        <v>52</v>
      </c>
      <c r="H402" s="48">
        <v>14655.0</v>
      </c>
      <c r="I402" s="48">
        <v>2784.0</v>
      </c>
      <c r="J402" s="42">
        <v>0.0</v>
      </c>
      <c r="K402" s="48">
        <v>23063.0</v>
      </c>
      <c r="L402" s="61" t="s">
        <v>77</v>
      </c>
      <c r="M402" s="31" t="s">
        <v>37</v>
      </c>
      <c r="N402" s="61" t="s">
        <v>46</v>
      </c>
      <c r="O402" s="61" t="s">
        <v>912</v>
      </c>
      <c r="P402" s="207" t="s">
        <v>913</v>
      </c>
      <c r="Q402" s="61"/>
      <c r="R402" s="61"/>
      <c r="S402" s="61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</row>
    <row r="403" ht="22.5" customHeight="1">
      <c r="A403" s="157" t="s">
        <v>177</v>
      </c>
      <c r="B403" s="158" t="s">
        <v>48</v>
      </c>
      <c r="C403" s="158">
        <v>5.1897855E7</v>
      </c>
      <c r="D403" s="158" t="s">
        <v>876</v>
      </c>
      <c r="E403" s="159">
        <v>45951.0</v>
      </c>
      <c r="F403" s="160" t="s">
        <v>51</v>
      </c>
      <c r="G403" s="158" t="s">
        <v>52</v>
      </c>
      <c r="H403" s="48">
        <v>43359.0</v>
      </c>
      <c r="I403" s="48">
        <v>1899.0</v>
      </c>
      <c r="J403" s="42">
        <v>0.0</v>
      </c>
      <c r="K403" s="48">
        <v>45258.0</v>
      </c>
      <c r="L403" s="61" t="s">
        <v>77</v>
      </c>
      <c r="M403" s="31" t="s">
        <v>37</v>
      </c>
      <c r="N403" s="61" t="s">
        <v>46</v>
      </c>
      <c r="O403" s="61" t="s">
        <v>914</v>
      </c>
      <c r="P403" s="207" t="s">
        <v>881</v>
      </c>
      <c r="Q403" s="61"/>
      <c r="R403" s="61"/>
      <c r="S403" s="61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</row>
    <row r="404" ht="22.5" customHeight="1">
      <c r="A404" s="157" t="s">
        <v>69</v>
      </c>
      <c r="B404" s="158" t="s">
        <v>48</v>
      </c>
      <c r="C404" s="158"/>
      <c r="D404" s="158" t="s">
        <v>915</v>
      </c>
      <c r="E404" s="159">
        <v>45940.0</v>
      </c>
      <c r="F404" s="288" t="s">
        <v>601</v>
      </c>
      <c r="G404" s="158" t="s">
        <v>52</v>
      </c>
      <c r="H404" s="48">
        <v>0.0</v>
      </c>
      <c r="I404" s="48">
        <v>0.0</v>
      </c>
      <c r="J404" s="42">
        <v>0.0</v>
      </c>
      <c r="K404" s="48">
        <v>1790.0</v>
      </c>
      <c r="L404" s="61" t="s">
        <v>77</v>
      </c>
      <c r="M404" s="31" t="s">
        <v>37</v>
      </c>
      <c r="N404" s="61" t="s">
        <v>46</v>
      </c>
      <c r="O404" s="61" t="s">
        <v>916</v>
      </c>
      <c r="P404" s="207" t="s">
        <v>917</v>
      </c>
      <c r="Q404" s="61"/>
      <c r="R404" s="61"/>
      <c r="S404" s="61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</row>
    <row r="405" ht="22.5" customHeight="1">
      <c r="A405" s="157" t="s">
        <v>69</v>
      </c>
      <c r="B405" s="158" t="s">
        <v>48</v>
      </c>
      <c r="C405" s="158"/>
      <c r="D405" s="158" t="s">
        <v>915</v>
      </c>
      <c r="E405" s="159">
        <v>45940.0</v>
      </c>
      <c r="F405" s="288" t="s">
        <v>601</v>
      </c>
      <c r="G405" s="158" t="s">
        <v>52</v>
      </c>
      <c r="H405" s="48">
        <v>0.0</v>
      </c>
      <c r="I405" s="48">
        <v>0.0</v>
      </c>
      <c r="J405" s="42">
        <v>0.0</v>
      </c>
      <c r="K405" s="48">
        <v>400.0</v>
      </c>
      <c r="L405" s="61" t="s">
        <v>77</v>
      </c>
      <c r="M405" s="31" t="s">
        <v>37</v>
      </c>
      <c r="N405" s="61" t="s">
        <v>46</v>
      </c>
      <c r="O405" s="61" t="s">
        <v>916</v>
      </c>
      <c r="P405" s="207" t="s">
        <v>918</v>
      </c>
      <c r="Q405" s="61"/>
      <c r="R405" s="61"/>
      <c r="S405" s="61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</row>
    <row r="406" ht="22.5" customHeight="1">
      <c r="A406" s="123" t="s">
        <v>40</v>
      </c>
      <c r="B406" s="158" t="s">
        <v>48</v>
      </c>
      <c r="C406" s="158">
        <v>5.0</v>
      </c>
      <c r="D406" s="158" t="s">
        <v>919</v>
      </c>
      <c r="E406" s="159">
        <v>45939.0</v>
      </c>
      <c r="F406" s="288" t="s">
        <v>51</v>
      </c>
      <c r="G406" s="158" t="s">
        <v>52</v>
      </c>
      <c r="H406" s="48">
        <v>306666.0</v>
      </c>
      <c r="I406" s="42">
        <v>0.0</v>
      </c>
      <c r="J406" s="48">
        <v>44467.0</v>
      </c>
      <c r="K406" s="48">
        <v>262199.0</v>
      </c>
      <c r="L406" s="173" t="s">
        <v>70</v>
      </c>
      <c r="M406" s="209" t="s">
        <v>37</v>
      </c>
      <c r="N406" s="61" t="s">
        <v>44</v>
      </c>
      <c r="O406" s="61" t="s">
        <v>919</v>
      </c>
      <c r="P406" s="207" t="s">
        <v>920</v>
      </c>
      <c r="Q406" s="61"/>
      <c r="R406" s="61"/>
      <c r="S406" s="61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</row>
    <row r="407" ht="22.5" customHeight="1">
      <c r="A407" s="157" t="s">
        <v>69</v>
      </c>
      <c r="B407" s="158" t="s">
        <v>48</v>
      </c>
      <c r="C407" s="158"/>
      <c r="D407" s="158" t="s">
        <v>921</v>
      </c>
      <c r="E407" s="159">
        <v>45939.0</v>
      </c>
      <c r="F407" s="288" t="s">
        <v>51</v>
      </c>
      <c r="G407" s="158" t="s">
        <v>52</v>
      </c>
      <c r="H407" s="48">
        <v>0.0</v>
      </c>
      <c r="I407" s="48">
        <v>0.0</v>
      </c>
      <c r="J407" s="42">
        <v>0.0</v>
      </c>
      <c r="K407" s="48">
        <v>350000.0</v>
      </c>
      <c r="L407" s="61" t="s">
        <v>77</v>
      </c>
      <c r="M407" s="31" t="s">
        <v>37</v>
      </c>
      <c r="N407" s="61" t="s">
        <v>46</v>
      </c>
      <c r="O407" s="61" t="s">
        <v>921</v>
      </c>
      <c r="P407" s="207" t="s">
        <v>922</v>
      </c>
      <c r="Q407" s="61"/>
      <c r="R407" s="61"/>
      <c r="S407" s="61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</row>
    <row r="408" ht="22.5" customHeight="1">
      <c r="A408" s="157" t="s">
        <v>148</v>
      </c>
      <c r="B408" s="158" t="s">
        <v>48</v>
      </c>
      <c r="C408" s="158">
        <v>1.1605017E7</v>
      </c>
      <c r="D408" s="158" t="s">
        <v>923</v>
      </c>
      <c r="E408" s="159">
        <v>45939.0</v>
      </c>
      <c r="F408" s="288" t="s">
        <v>51</v>
      </c>
      <c r="G408" s="158" t="s">
        <v>52</v>
      </c>
      <c r="H408" s="48">
        <f>K408-I408</f>
        <v>28377.54</v>
      </c>
      <c r="I408" s="42">
        <f>K408*19%</f>
        <v>6656.46</v>
      </c>
      <c r="J408" s="42">
        <v>0.0</v>
      </c>
      <c r="K408" s="48">
        <v>35034.0</v>
      </c>
      <c r="L408" s="61" t="s">
        <v>77</v>
      </c>
      <c r="M408" s="31" t="s">
        <v>37</v>
      </c>
      <c r="N408" s="61" t="s">
        <v>46</v>
      </c>
      <c r="O408" s="61" t="s">
        <v>924</v>
      </c>
      <c r="P408" s="207" t="s">
        <v>925</v>
      </c>
      <c r="Q408" s="61"/>
      <c r="R408" s="61"/>
      <c r="S408" s="61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</row>
    <row r="409" ht="22.5" customHeight="1">
      <c r="A409" s="157" t="s">
        <v>177</v>
      </c>
      <c r="B409" s="158" t="s">
        <v>48</v>
      </c>
      <c r="C409" s="158" t="s">
        <v>926</v>
      </c>
      <c r="D409" s="158" t="s">
        <v>885</v>
      </c>
      <c r="E409" s="159">
        <v>45938.0</v>
      </c>
      <c r="F409" s="288" t="s">
        <v>51</v>
      </c>
      <c r="G409" s="158" t="s">
        <v>52</v>
      </c>
      <c r="H409" s="48">
        <v>165000.0</v>
      </c>
      <c r="I409" s="48">
        <v>31350.0</v>
      </c>
      <c r="J409" s="42">
        <v>0.0</v>
      </c>
      <c r="K409" s="48">
        <v>392700.0</v>
      </c>
      <c r="L409" s="173" t="s">
        <v>70</v>
      </c>
      <c r="M409" s="209" t="s">
        <v>35</v>
      </c>
      <c r="N409" s="61" t="s">
        <v>44</v>
      </c>
      <c r="O409" s="61" t="s">
        <v>927</v>
      </c>
      <c r="P409" s="207" t="s">
        <v>928</v>
      </c>
      <c r="Q409" s="61"/>
      <c r="R409" s="61"/>
      <c r="S409" s="61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</row>
    <row r="410" ht="22.5" customHeight="1">
      <c r="A410" s="157" t="s">
        <v>69</v>
      </c>
      <c r="B410" s="158" t="s">
        <v>48</v>
      </c>
      <c r="C410" s="158">
        <v>1.8323207E7</v>
      </c>
      <c r="D410" s="158" t="s">
        <v>909</v>
      </c>
      <c r="E410" s="159">
        <v>45937.0</v>
      </c>
      <c r="F410" s="288" t="s">
        <v>51</v>
      </c>
      <c r="G410" s="158" t="s">
        <v>52</v>
      </c>
      <c r="H410" s="48">
        <v>0.0</v>
      </c>
      <c r="I410" s="48">
        <v>0.0</v>
      </c>
      <c r="J410" s="42">
        <v>0.0</v>
      </c>
      <c r="K410" s="48">
        <v>17400.0</v>
      </c>
      <c r="L410" s="61" t="s">
        <v>77</v>
      </c>
      <c r="M410" s="31" t="s">
        <v>37</v>
      </c>
      <c r="N410" s="61" t="s">
        <v>46</v>
      </c>
      <c r="O410" s="61" t="s">
        <v>910</v>
      </c>
      <c r="P410" s="207" t="s">
        <v>929</v>
      </c>
      <c r="Q410" s="61"/>
      <c r="R410" s="61"/>
      <c r="S410" s="61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</row>
    <row r="411" ht="22.5" customHeight="1">
      <c r="A411" s="157" t="s">
        <v>69</v>
      </c>
      <c r="B411" s="158" t="s">
        <v>48</v>
      </c>
      <c r="C411" s="158"/>
      <c r="D411" s="158" t="s">
        <v>921</v>
      </c>
      <c r="E411" s="159">
        <v>45936.0</v>
      </c>
      <c r="F411" s="288" t="s">
        <v>51</v>
      </c>
      <c r="G411" s="158" t="s">
        <v>52</v>
      </c>
      <c r="H411" s="48">
        <v>0.0</v>
      </c>
      <c r="I411" s="48">
        <v>0.0</v>
      </c>
      <c r="J411" s="42">
        <v>0.0</v>
      </c>
      <c r="K411" s="48">
        <v>459136.0</v>
      </c>
      <c r="L411" s="61" t="s">
        <v>77</v>
      </c>
      <c r="M411" s="31" t="s">
        <v>37</v>
      </c>
      <c r="N411" s="61" t="s">
        <v>46</v>
      </c>
      <c r="O411" s="61" t="s">
        <v>930</v>
      </c>
      <c r="P411" s="207" t="s">
        <v>922</v>
      </c>
      <c r="Q411" s="61"/>
      <c r="R411" s="61"/>
      <c r="S411" s="61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</row>
    <row r="412" ht="22.5" customHeight="1">
      <c r="A412" s="157" t="s">
        <v>177</v>
      </c>
      <c r="B412" s="158" t="s">
        <v>48</v>
      </c>
      <c r="C412" s="158">
        <v>21.0</v>
      </c>
      <c r="D412" s="158" t="s">
        <v>885</v>
      </c>
      <c r="E412" s="159">
        <v>45930.0</v>
      </c>
      <c r="F412" s="288" t="s">
        <v>51</v>
      </c>
      <c r="G412" s="158" t="s">
        <v>52</v>
      </c>
      <c r="H412" s="48">
        <v>380000.0</v>
      </c>
      <c r="I412" s="48">
        <v>72200.0</v>
      </c>
      <c r="J412" s="42">
        <v>0.0</v>
      </c>
      <c r="K412" s="48">
        <v>452200.0</v>
      </c>
      <c r="L412" s="61" t="s">
        <v>67</v>
      </c>
      <c r="M412" s="31" t="s">
        <v>35</v>
      </c>
      <c r="N412" s="61" t="s">
        <v>44</v>
      </c>
      <c r="O412" s="61" t="s">
        <v>931</v>
      </c>
      <c r="P412" s="282" t="s">
        <v>932</v>
      </c>
      <c r="Q412" s="61"/>
      <c r="R412" s="61"/>
      <c r="S412" s="61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</row>
    <row r="413" ht="22.5" customHeight="1">
      <c r="A413" s="157" t="s">
        <v>69</v>
      </c>
      <c r="B413" s="158" t="s">
        <v>48</v>
      </c>
      <c r="C413" s="158"/>
      <c r="D413" s="158" t="s">
        <v>933</v>
      </c>
      <c r="E413" s="159">
        <v>45917.0</v>
      </c>
      <c r="F413" s="288" t="s">
        <v>51</v>
      </c>
      <c r="G413" s="158" t="s">
        <v>52</v>
      </c>
      <c r="H413" s="48">
        <v>0.0</v>
      </c>
      <c r="I413" s="48">
        <v>0.0</v>
      </c>
      <c r="J413" s="42">
        <v>0.0</v>
      </c>
      <c r="K413" s="48">
        <v>230172.0</v>
      </c>
      <c r="L413" s="61" t="s">
        <v>77</v>
      </c>
      <c r="M413" s="31" t="s">
        <v>37</v>
      </c>
      <c r="N413" s="61" t="s">
        <v>46</v>
      </c>
      <c r="O413" s="61" t="s">
        <v>933</v>
      </c>
      <c r="P413" s="207" t="s">
        <v>922</v>
      </c>
      <c r="Q413" s="61"/>
      <c r="R413" s="61"/>
      <c r="S413" s="61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</row>
    <row r="414" ht="22.5" customHeight="1">
      <c r="A414" s="157" t="s">
        <v>69</v>
      </c>
      <c r="B414" s="158" t="s">
        <v>48</v>
      </c>
      <c r="C414" s="158"/>
      <c r="D414" s="158" t="s">
        <v>906</v>
      </c>
      <c r="E414" s="159">
        <v>45917.0</v>
      </c>
      <c r="F414" s="288" t="s">
        <v>51</v>
      </c>
      <c r="G414" s="158" t="s">
        <v>52</v>
      </c>
      <c r="H414" s="48">
        <v>0.0</v>
      </c>
      <c r="I414" s="48">
        <v>0.0</v>
      </c>
      <c r="J414" s="42">
        <v>0.0</v>
      </c>
      <c r="K414" s="48">
        <v>39485.0</v>
      </c>
      <c r="L414" s="61" t="s">
        <v>77</v>
      </c>
      <c r="M414" s="31" t="s">
        <v>37</v>
      </c>
      <c r="N414" s="61" t="s">
        <v>46</v>
      </c>
      <c r="O414" s="61" t="s">
        <v>934</v>
      </c>
      <c r="P414" s="207" t="s">
        <v>922</v>
      </c>
      <c r="Q414" s="61"/>
      <c r="R414" s="61"/>
      <c r="S414" s="61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</row>
    <row r="415" ht="22.5" customHeight="1">
      <c r="A415" s="157" t="s">
        <v>177</v>
      </c>
      <c r="B415" s="158" t="s">
        <v>48</v>
      </c>
      <c r="C415" s="158">
        <v>18.0</v>
      </c>
      <c r="D415" s="158" t="s">
        <v>885</v>
      </c>
      <c r="E415" s="159">
        <v>45917.0</v>
      </c>
      <c r="F415" s="288" t="s">
        <v>51</v>
      </c>
      <c r="G415" s="158" t="s">
        <v>52</v>
      </c>
      <c r="H415" s="48">
        <v>490000.0</v>
      </c>
      <c r="I415" s="48">
        <v>93100.0</v>
      </c>
      <c r="J415" s="42">
        <v>0.0</v>
      </c>
      <c r="K415" s="48">
        <v>583100.0</v>
      </c>
      <c r="L415" s="31" t="s">
        <v>75</v>
      </c>
      <c r="M415" s="31" t="s">
        <v>35</v>
      </c>
      <c r="N415" s="61" t="s">
        <v>44</v>
      </c>
      <c r="O415" s="61" t="s">
        <v>935</v>
      </c>
      <c r="P415" s="207" t="s">
        <v>936</v>
      </c>
      <c r="Q415" s="61"/>
      <c r="R415" s="61"/>
      <c r="S415" s="61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</row>
    <row r="416" ht="22.5" customHeight="1">
      <c r="A416" s="157" t="s">
        <v>69</v>
      </c>
      <c r="B416" s="158" t="s">
        <v>48</v>
      </c>
      <c r="C416" s="158"/>
      <c r="D416" s="158" t="s">
        <v>937</v>
      </c>
      <c r="E416" s="159">
        <v>45916.0</v>
      </c>
      <c r="F416" s="288" t="s">
        <v>51</v>
      </c>
      <c r="G416" s="158" t="s">
        <v>52</v>
      </c>
      <c r="H416" s="48">
        <v>0.0</v>
      </c>
      <c r="I416" s="48">
        <v>0.0</v>
      </c>
      <c r="J416" s="42">
        <v>0.0</v>
      </c>
      <c r="K416" s="48">
        <v>28103.0</v>
      </c>
      <c r="L416" s="61" t="s">
        <v>77</v>
      </c>
      <c r="M416" s="31" t="s">
        <v>37</v>
      </c>
      <c r="N416" s="61" t="s">
        <v>46</v>
      </c>
      <c r="O416" s="61" t="s">
        <v>938</v>
      </c>
      <c r="P416" s="207" t="s">
        <v>922</v>
      </c>
      <c r="Q416" s="61"/>
      <c r="R416" s="61"/>
      <c r="S416" s="61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</row>
    <row r="417" ht="22.5" customHeight="1">
      <c r="A417" s="157" t="s">
        <v>69</v>
      </c>
      <c r="B417" s="158" t="s">
        <v>48</v>
      </c>
      <c r="C417" s="158"/>
      <c r="D417" s="158" t="s">
        <v>921</v>
      </c>
      <c r="E417" s="159">
        <v>45915.0</v>
      </c>
      <c r="F417" s="288" t="s">
        <v>51</v>
      </c>
      <c r="G417" s="158" t="s">
        <v>52</v>
      </c>
      <c r="H417" s="48">
        <v>0.0</v>
      </c>
      <c r="I417" s="48">
        <v>0.0</v>
      </c>
      <c r="J417" s="42">
        <v>0.0</v>
      </c>
      <c r="K417" s="48">
        <v>165000.0</v>
      </c>
      <c r="L417" s="61" t="s">
        <v>77</v>
      </c>
      <c r="M417" s="31" t="s">
        <v>37</v>
      </c>
      <c r="N417" s="61" t="s">
        <v>46</v>
      </c>
      <c r="O417" s="61" t="s">
        <v>921</v>
      </c>
      <c r="P417" s="207" t="s">
        <v>922</v>
      </c>
      <c r="Q417" s="61"/>
      <c r="R417" s="61"/>
      <c r="S417" s="61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</row>
    <row r="418" ht="22.5" customHeight="1">
      <c r="A418" s="157" t="s">
        <v>69</v>
      </c>
      <c r="B418" s="158" t="s">
        <v>48</v>
      </c>
      <c r="C418" s="158"/>
      <c r="D418" s="158" t="s">
        <v>919</v>
      </c>
      <c r="E418" s="159">
        <v>45912.0</v>
      </c>
      <c r="F418" s="288" t="s">
        <v>51</v>
      </c>
      <c r="G418" s="158" t="s">
        <v>52</v>
      </c>
      <c r="H418" s="48">
        <v>0.0</v>
      </c>
      <c r="I418" s="48">
        <v>0.0</v>
      </c>
      <c r="J418" s="42">
        <v>0.0</v>
      </c>
      <c r="K418" s="48">
        <v>19200.0</v>
      </c>
      <c r="L418" s="61" t="s">
        <v>77</v>
      </c>
      <c r="M418" s="31" t="s">
        <v>37</v>
      </c>
      <c r="N418" s="61" t="s">
        <v>44</v>
      </c>
      <c r="O418" s="61" t="s">
        <v>939</v>
      </c>
      <c r="P418" s="207" t="s">
        <v>922</v>
      </c>
      <c r="Q418" s="61"/>
      <c r="R418" s="61"/>
      <c r="S418" s="61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</row>
    <row r="419" ht="22.5" customHeight="1">
      <c r="A419" s="157" t="s">
        <v>177</v>
      </c>
      <c r="B419" s="158" t="s">
        <v>48</v>
      </c>
      <c r="C419" s="158">
        <v>2.0698619E7</v>
      </c>
      <c r="D419" s="158" t="s">
        <v>876</v>
      </c>
      <c r="E419" s="159">
        <v>45912.0</v>
      </c>
      <c r="F419" s="288" t="s">
        <v>51</v>
      </c>
      <c r="G419" s="158" t="s">
        <v>52</v>
      </c>
      <c r="H419" s="48">
        <v>14655.0</v>
      </c>
      <c r="I419" s="48">
        <v>2784.0</v>
      </c>
      <c r="J419" s="42">
        <v>0.0</v>
      </c>
      <c r="K419" s="48">
        <v>17439.0</v>
      </c>
      <c r="L419" s="61" t="s">
        <v>77</v>
      </c>
      <c r="M419" s="31" t="s">
        <v>37</v>
      </c>
      <c r="N419" s="61" t="s">
        <v>46</v>
      </c>
      <c r="O419" s="61" t="s">
        <v>940</v>
      </c>
      <c r="P419" s="207" t="s">
        <v>913</v>
      </c>
      <c r="Q419" s="61"/>
      <c r="R419" s="61"/>
      <c r="S419" s="61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</row>
    <row r="420" ht="22.5" customHeight="1">
      <c r="A420" s="157" t="s">
        <v>177</v>
      </c>
      <c r="B420" s="158" t="s">
        <v>48</v>
      </c>
      <c r="C420" s="158">
        <v>2.054241E7</v>
      </c>
      <c r="D420" s="158" t="s">
        <v>876</v>
      </c>
      <c r="E420" s="159">
        <v>45912.0</v>
      </c>
      <c r="F420" s="288" t="s">
        <v>51</v>
      </c>
      <c r="G420" s="158" t="s">
        <v>52</v>
      </c>
      <c r="H420" s="48">
        <v>2194.0</v>
      </c>
      <c r="I420" s="48">
        <v>417.0</v>
      </c>
      <c r="J420" s="42">
        <v>0.0</v>
      </c>
      <c r="K420" s="48">
        <v>2611.0</v>
      </c>
      <c r="L420" s="61" t="s">
        <v>77</v>
      </c>
      <c r="M420" s="31" t="s">
        <v>37</v>
      </c>
      <c r="N420" s="61" t="s">
        <v>46</v>
      </c>
      <c r="O420" s="61" t="s">
        <v>941</v>
      </c>
      <c r="P420" s="207" t="s">
        <v>942</v>
      </c>
      <c r="Q420" s="61"/>
      <c r="R420" s="61"/>
      <c r="S420" s="61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</row>
    <row r="421" ht="22.5" customHeight="1">
      <c r="A421" s="157" t="s">
        <v>177</v>
      </c>
      <c r="B421" s="158" t="s">
        <v>48</v>
      </c>
      <c r="C421" s="158">
        <v>5.1897855E7</v>
      </c>
      <c r="D421" s="158" t="s">
        <v>876</v>
      </c>
      <c r="E421" s="159">
        <v>45912.0</v>
      </c>
      <c r="F421" s="288" t="s">
        <v>51</v>
      </c>
      <c r="G421" s="158" t="s">
        <v>52</v>
      </c>
      <c r="H421" s="48">
        <v>33365.0</v>
      </c>
      <c r="I421" s="48">
        <v>1899.0</v>
      </c>
      <c r="J421" s="42">
        <v>0.0</v>
      </c>
      <c r="K421" s="48">
        <v>45258.0</v>
      </c>
      <c r="L421" s="61" t="s">
        <v>77</v>
      </c>
      <c r="M421" s="31" t="s">
        <v>37</v>
      </c>
      <c r="N421" s="61" t="s">
        <v>46</v>
      </c>
      <c r="O421" s="61" t="s">
        <v>943</v>
      </c>
      <c r="P421" s="207" t="s">
        <v>944</v>
      </c>
      <c r="Q421" s="61"/>
      <c r="R421" s="61"/>
      <c r="S421" s="61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</row>
    <row r="422" ht="22.5" customHeight="1">
      <c r="A422" s="123" t="s">
        <v>40</v>
      </c>
      <c r="B422" s="158" t="s">
        <v>48</v>
      </c>
      <c r="C422" s="158">
        <v>4.0</v>
      </c>
      <c r="D422" s="158" t="s">
        <v>919</v>
      </c>
      <c r="E422" s="159">
        <v>45912.0</v>
      </c>
      <c r="F422" s="288" t="s">
        <v>51</v>
      </c>
      <c r="G422" s="158" t="s">
        <v>52</v>
      </c>
      <c r="H422" s="48">
        <v>400000.0</v>
      </c>
      <c r="I422" s="42">
        <v>0.0</v>
      </c>
      <c r="J422" s="48">
        <v>58000.0</v>
      </c>
      <c r="K422" s="48">
        <v>342000.0</v>
      </c>
      <c r="L422" s="173" t="s">
        <v>70</v>
      </c>
      <c r="M422" s="209" t="s">
        <v>37</v>
      </c>
      <c r="N422" s="61" t="s">
        <v>46</v>
      </c>
      <c r="O422" s="61" t="s">
        <v>919</v>
      </c>
      <c r="P422" s="207" t="s">
        <v>945</v>
      </c>
      <c r="Q422" s="61"/>
      <c r="R422" s="61"/>
      <c r="S422" s="61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</row>
    <row r="423" ht="22.5" customHeight="1">
      <c r="A423" s="157" t="s">
        <v>69</v>
      </c>
      <c r="B423" s="158" t="s">
        <v>48</v>
      </c>
      <c r="C423" s="158"/>
      <c r="D423" s="158" t="s">
        <v>915</v>
      </c>
      <c r="E423" s="159">
        <v>45910.0</v>
      </c>
      <c r="F423" s="288" t="s">
        <v>601</v>
      </c>
      <c r="G423" s="158" t="s">
        <v>52</v>
      </c>
      <c r="H423" s="48">
        <v>0.0</v>
      </c>
      <c r="I423" s="48">
        <v>0.0</v>
      </c>
      <c r="J423" s="42">
        <v>0.0</v>
      </c>
      <c r="K423" s="48">
        <v>1790.0</v>
      </c>
      <c r="L423" s="61" t="s">
        <v>77</v>
      </c>
      <c r="M423" s="31" t="s">
        <v>37</v>
      </c>
      <c r="N423" s="61" t="s">
        <v>46</v>
      </c>
      <c r="O423" s="61" t="s">
        <v>916</v>
      </c>
      <c r="P423" s="207" t="s">
        <v>946</v>
      </c>
      <c r="Q423" s="61"/>
      <c r="R423" s="61"/>
      <c r="S423" s="61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</row>
    <row r="424" ht="22.5" customHeight="1">
      <c r="A424" s="157" t="s">
        <v>69</v>
      </c>
      <c r="B424" s="158" t="s">
        <v>48</v>
      </c>
      <c r="C424" s="158"/>
      <c r="D424" s="158" t="s">
        <v>947</v>
      </c>
      <c r="E424" s="159">
        <v>45908.0</v>
      </c>
      <c r="F424" s="288" t="s">
        <v>601</v>
      </c>
      <c r="G424" s="158" t="s">
        <v>52</v>
      </c>
      <c r="H424" s="48">
        <v>0.0</v>
      </c>
      <c r="I424" s="48">
        <v>0.0</v>
      </c>
      <c r="J424" s="42">
        <v>0.0</v>
      </c>
      <c r="K424" s="48">
        <v>1000000.0</v>
      </c>
      <c r="L424" s="61" t="s">
        <v>77</v>
      </c>
      <c r="M424" s="31" t="s">
        <v>37</v>
      </c>
      <c r="N424" s="61" t="s">
        <v>47</v>
      </c>
      <c r="O424" s="61" t="s">
        <v>142</v>
      </c>
      <c r="P424" s="207" t="s">
        <v>948</v>
      </c>
      <c r="Q424" s="61"/>
      <c r="R424" s="61"/>
      <c r="S424" s="61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</row>
    <row r="425" ht="22.5" customHeight="1">
      <c r="A425" s="157" t="s">
        <v>69</v>
      </c>
      <c r="B425" s="158" t="s">
        <v>48</v>
      </c>
      <c r="C425" s="158"/>
      <c r="D425" s="158" t="s">
        <v>921</v>
      </c>
      <c r="E425" s="159">
        <v>45908.0</v>
      </c>
      <c r="F425" s="288" t="s">
        <v>51</v>
      </c>
      <c r="G425" s="158" t="s">
        <v>52</v>
      </c>
      <c r="H425" s="48">
        <v>0.0</v>
      </c>
      <c r="I425" s="48">
        <v>0.0</v>
      </c>
      <c r="J425" s="42">
        <v>0.0</v>
      </c>
      <c r="K425" s="48">
        <v>400000.0</v>
      </c>
      <c r="L425" s="61" t="s">
        <v>77</v>
      </c>
      <c r="M425" s="31" t="s">
        <v>37</v>
      </c>
      <c r="N425" s="61" t="s">
        <v>46</v>
      </c>
      <c r="O425" s="61" t="s">
        <v>921</v>
      </c>
      <c r="P425" s="207" t="s">
        <v>948</v>
      </c>
      <c r="Q425" s="61"/>
      <c r="R425" s="61"/>
      <c r="S425" s="61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</row>
    <row r="426" ht="22.5" customHeight="1">
      <c r="A426" s="123" t="s">
        <v>40</v>
      </c>
      <c r="B426" s="158" t="s">
        <v>48</v>
      </c>
      <c r="C426" s="158">
        <v>34.0</v>
      </c>
      <c r="D426" s="158" t="s">
        <v>949</v>
      </c>
      <c r="E426" s="159">
        <v>45896.0</v>
      </c>
      <c r="F426" s="288" t="s">
        <v>51</v>
      </c>
      <c r="G426" s="158" t="s">
        <v>52</v>
      </c>
      <c r="H426" s="48">
        <v>452000.0</v>
      </c>
      <c r="I426" s="42">
        <v>0.0</v>
      </c>
      <c r="J426" s="48">
        <v>65540.0</v>
      </c>
      <c r="K426" s="48">
        <v>386460.0</v>
      </c>
      <c r="L426" s="61" t="s">
        <v>67</v>
      </c>
      <c r="M426" s="31" t="s">
        <v>37</v>
      </c>
      <c r="N426" s="61" t="s">
        <v>44</v>
      </c>
      <c r="O426" s="61" t="s">
        <v>950</v>
      </c>
      <c r="P426" s="207" t="s">
        <v>951</v>
      </c>
      <c r="Q426" s="61"/>
      <c r="R426" s="61"/>
      <c r="S426" s="61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</row>
    <row r="427" ht="22.5" customHeight="1">
      <c r="A427" s="157" t="s">
        <v>148</v>
      </c>
      <c r="B427" s="158" t="s">
        <v>48</v>
      </c>
      <c r="C427" s="158"/>
      <c r="D427" s="158" t="s">
        <v>952</v>
      </c>
      <c r="E427" s="159">
        <v>45896.0</v>
      </c>
      <c r="F427" s="288" t="s">
        <v>51</v>
      </c>
      <c r="G427" s="158" t="s">
        <v>52</v>
      </c>
      <c r="H427" s="48">
        <f t="shared" ref="H427:H430" si="82">K427-I427</f>
        <v>10513.8</v>
      </c>
      <c r="I427" s="42">
        <f t="shared" ref="I427:I430" si="83">K427*19%</f>
        <v>2466.2</v>
      </c>
      <c r="J427" s="42">
        <v>0.0</v>
      </c>
      <c r="K427" s="48">
        <v>12980.0</v>
      </c>
      <c r="L427" s="207" t="s">
        <v>74</v>
      </c>
      <c r="M427" s="283" t="s">
        <v>37</v>
      </c>
      <c r="N427" s="61" t="s">
        <v>44</v>
      </c>
      <c r="O427" s="61" t="s">
        <v>953</v>
      </c>
      <c r="P427" s="207" t="s">
        <v>948</v>
      </c>
      <c r="Q427" s="61"/>
      <c r="R427" s="61"/>
      <c r="S427" s="61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</row>
    <row r="428" ht="22.5" customHeight="1">
      <c r="A428" s="157" t="s">
        <v>148</v>
      </c>
      <c r="B428" s="158" t="s">
        <v>48</v>
      </c>
      <c r="C428" s="158"/>
      <c r="D428" s="158" t="s">
        <v>954</v>
      </c>
      <c r="E428" s="159">
        <v>45896.0</v>
      </c>
      <c r="F428" s="288" t="s">
        <v>51</v>
      </c>
      <c r="G428" s="158" t="s">
        <v>52</v>
      </c>
      <c r="H428" s="48">
        <f t="shared" si="82"/>
        <v>1044.9</v>
      </c>
      <c r="I428" s="42">
        <f t="shared" si="83"/>
        <v>245.1</v>
      </c>
      <c r="J428" s="42">
        <v>0.0</v>
      </c>
      <c r="K428" s="48">
        <v>1290.0</v>
      </c>
      <c r="L428" s="207" t="s">
        <v>74</v>
      </c>
      <c r="M428" s="283" t="s">
        <v>37</v>
      </c>
      <c r="N428" s="61" t="s">
        <v>44</v>
      </c>
      <c r="O428" s="61" t="s">
        <v>955</v>
      </c>
      <c r="P428" s="207" t="s">
        <v>948</v>
      </c>
      <c r="Q428" s="61"/>
      <c r="R428" s="61"/>
      <c r="S428" s="61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</row>
    <row r="429" ht="22.5" customHeight="1">
      <c r="A429" s="157" t="s">
        <v>148</v>
      </c>
      <c r="B429" s="158" t="s">
        <v>48</v>
      </c>
      <c r="C429" s="158"/>
      <c r="D429" s="158" t="s">
        <v>956</v>
      </c>
      <c r="E429" s="159">
        <v>45896.0</v>
      </c>
      <c r="F429" s="288" t="s">
        <v>51</v>
      </c>
      <c r="G429" s="158" t="s">
        <v>52</v>
      </c>
      <c r="H429" s="48">
        <f t="shared" si="82"/>
        <v>4657.5</v>
      </c>
      <c r="I429" s="42">
        <f t="shared" si="83"/>
        <v>1092.5</v>
      </c>
      <c r="J429" s="42">
        <v>0.0</v>
      </c>
      <c r="K429" s="48">
        <v>5750.0</v>
      </c>
      <c r="L429" s="207" t="s">
        <v>74</v>
      </c>
      <c r="M429" s="283" t="s">
        <v>37</v>
      </c>
      <c r="N429" s="61" t="s">
        <v>44</v>
      </c>
      <c r="O429" s="61" t="s">
        <v>957</v>
      </c>
      <c r="P429" s="207" t="s">
        <v>948</v>
      </c>
      <c r="Q429" s="61"/>
      <c r="R429" s="61"/>
      <c r="S429" s="61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</row>
    <row r="430" ht="22.5" customHeight="1">
      <c r="A430" s="157" t="s">
        <v>148</v>
      </c>
      <c r="B430" s="158" t="s">
        <v>48</v>
      </c>
      <c r="C430" s="158"/>
      <c r="D430" s="158" t="s">
        <v>958</v>
      </c>
      <c r="E430" s="159">
        <v>45896.0</v>
      </c>
      <c r="F430" s="288" t="s">
        <v>51</v>
      </c>
      <c r="G430" s="158" t="s">
        <v>52</v>
      </c>
      <c r="H430" s="48">
        <f t="shared" si="82"/>
        <v>24300</v>
      </c>
      <c r="I430" s="42">
        <f t="shared" si="83"/>
        <v>5700</v>
      </c>
      <c r="J430" s="42">
        <v>0.0</v>
      </c>
      <c r="K430" s="48">
        <v>30000.0</v>
      </c>
      <c r="L430" s="207" t="s">
        <v>74</v>
      </c>
      <c r="M430" s="283" t="s">
        <v>38</v>
      </c>
      <c r="N430" s="61" t="s">
        <v>44</v>
      </c>
      <c r="O430" s="61" t="s">
        <v>959</v>
      </c>
      <c r="P430" s="207" t="s">
        <v>948</v>
      </c>
      <c r="Q430" s="61"/>
      <c r="R430" s="61"/>
      <c r="S430" s="61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</row>
    <row r="431" ht="22.5" customHeight="1">
      <c r="A431" s="157" t="s">
        <v>69</v>
      </c>
      <c r="B431" s="158" t="s">
        <v>48</v>
      </c>
      <c r="C431" s="158"/>
      <c r="D431" s="158" t="s">
        <v>921</v>
      </c>
      <c r="E431" s="159">
        <v>45894.0</v>
      </c>
      <c r="F431" s="288" t="s">
        <v>51</v>
      </c>
      <c r="G431" s="158" t="s">
        <v>52</v>
      </c>
      <c r="H431" s="48">
        <v>0.0</v>
      </c>
      <c r="I431" s="48">
        <v>0.0</v>
      </c>
      <c r="J431" s="42">
        <v>0.0</v>
      </c>
      <c r="K431" s="48">
        <v>150000.0</v>
      </c>
      <c r="L431" s="61" t="s">
        <v>77</v>
      </c>
      <c r="M431" s="31" t="s">
        <v>37</v>
      </c>
      <c r="N431" s="61" t="s">
        <v>46</v>
      </c>
      <c r="O431" s="61" t="s">
        <v>921</v>
      </c>
      <c r="P431" s="207" t="s">
        <v>948</v>
      </c>
      <c r="Q431" s="61"/>
      <c r="R431" s="61"/>
      <c r="S431" s="61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</row>
    <row r="432" ht="22.5" customHeight="1">
      <c r="A432" s="157" t="s">
        <v>148</v>
      </c>
      <c r="B432" s="158" t="s">
        <v>48</v>
      </c>
      <c r="C432" s="158"/>
      <c r="D432" s="158" t="s">
        <v>960</v>
      </c>
      <c r="E432" s="159">
        <v>45894.0</v>
      </c>
      <c r="F432" s="288" t="s">
        <v>51</v>
      </c>
      <c r="G432" s="158" t="s">
        <v>52</v>
      </c>
      <c r="H432" s="48">
        <f>K432-I432</f>
        <v>2146.5</v>
      </c>
      <c r="I432" s="42">
        <f>K432*19%</f>
        <v>503.5</v>
      </c>
      <c r="J432" s="42">
        <v>0.0</v>
      </c>
      <c r="K432" s="48">
        <v>2650.0</v>
      </c>
      <c r="L432" s="61" t="s">
        <v>77</v>
      </c>
      <c r="M432" s="31" t="s">
        <v>37</v>
      </c>
      <c r="N432" s="61" t="s">
        <v>44</v>
      </c>
      <c r="O432" s="61" t="s">
        <v>961</v>
      </c>
      <c r="P432" s="207" t="s">
        <v>948</v>
      </c>
      <c r="Q432" s="61"/>
      <c r="R432" s="61"/>
      <c r="S432" s="61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</row>
    <row r="433" ht="22.5" customHeight="1">
      <c r="A433" s="157" t="s">
        <v>69</v>
      </c>
      <c r="B433" s="158" t="s">
        <v>48</v>
      </c>
      <c r="C433" s="158"/>
      <c r="D433" s="158" t="s">
        <v>962</v>
      </c>
      <c r="E433" s="159">
        <v>45891.0</v>
      </c>
      <c r="F433" s="288" t="s">
        <v>51</v>
      </c>
      <c r="G433" s="158" t="s">
        <v>52</v>
      </c>
      <c r="H433" s="48">
        <v>0.0</v>
      </c>
      <c r="I433" s="48">
        <v>0.0</v>
      </c>
      <c r="J433" s="42">
        <v>0.0</v>
      </c>
      <c r="K433" s="48">
        <v>31238.0</v>
      </c>
      <c r="L433" s="61" t="s">
        <v>77</v>
      </c>
      <c r="M433" s="31" t="s">
        <v>37</v>
      </c>
      <c r="N433" s="61" t="s">
        <v>46</v>
      </c>
      <c r="O433" s="61" t="s">
        <v>963</v>
      </c>
      <c r="P433" s="207" t="s">
        <v>948</v>
      </c>
      <c r="Q433" s="61"/>
      <c r="R433" s="61"/>
      <c r="S433" s="61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</row>
    <row r="434" ht="22.5" customHeight="1">
      <c r="A434" s="157" t="s">
        <v>148</v>
      </c>
      <c r="B434" s="158" t="s">
        <v>48</v>
      </c>
      <c r="C434" s="158">
        <v>1.2873777E7</v>
      </c>
      <c r="D434" s="158" t="s">
        <v>964</v>
      </c>
      <c r="E434" s="159">
        <v>45890.0</v>
      </c>
      <c r="F434" s="288" t="s">
        <v>51</v>
      </c>
      <c r="G434" s="158" t="s">
        <v>52</v>
      </c>
      <c r="H434" s="48">
        <f>K434-I434</f>
        <v>1620</v>
      </c>
      <c r="I434" s="42">
        <f>K434*19%</f>
        <v>380</v>
      </c>
      <c r="J434" s="42">
        <v>0.0</v>
      </c>
      <c r="K434" s="48">
        <v>2000.0</v>
      </c>
      <c r="L434" s="61" t="s">
        <v>75</v>
      </c>
      <c r="M434" s="31" t="s">
        <v>38</v>
      </c>
      <c r="N434" s="61" t="s">
        <v>44</v>
      </c>
      <c r="O434" s="61" t="s">
        <v>965</v>
      </c>
      <c r="P434" s="207" t="s">
        <v>966</v>
      </c>
      <c r="Q434" s="61"/>
      <c r="R434" s="61"/>
      <c r="S434" s="61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</row>
    <row r="435" ht="22.5" customHeight="1">
      <c r="A435" s="157" t="s">
        <v>69</v>
      </c>
      <c r="B435" s="158" t="s">
        <v>48</v>
      </c>
      <c r="C435" s="158"/>
      <c r="D435" s="158" t="s">
        <v>967</v>
      </c>
      <c r="E435" s="159">
        <v>45890.0</v>
      </c>
      <c r="F435" s="288" t="s">
        <v>51</v>
      </c>
      <c r="G435" s="158" t="s">
        <v>52</v>
      </c>
      <c r="H435" s="48">
        <v>0.0</v>
      </c>
      <c r="I435" s="48">
        <v>0.0</v>
      </c>
      <c r="J435" s="42">
        <v>0.0</v>
      </c>
      <c r="K435" s="48">
        <v>890.0</v>
      </c>
      <c r="L435" s="61" t="s">
        <v>77</v>
      </c>
      <c r="M435" s="31" t="s">
        <v>37</v>
      </c>
      <c r="N435" s="61" t="s">
        <v>44</v>
      </c>
      <c r="O435" s="61" t="s">
        <v>968</v>
      </c>
      <c r="P435" s="207" t="s">
        <v>948</v>
      </c>
      <c r="Q435" s="61"/>
      <c r="R435" s="61"/>
      <c r="S435" s="61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</row>
    <row r="436" ht="22.5" customHeight="1">
      <c r="A436" s="157" t="s">
        <v>148</v>
      </c>
      <c r="B436" s="158" t="s">
        <v>48</v>
      </c>
      <c r="C436" s="158">
        <v>1040642.0</v>
      </c>
      <c r="D436" s="158" t="s">
        <v>969</v>
      </c>
      <c r="E436" s="159">
        <v>45889.0</v>
      </c>
      <c r="F436" s="288" t="s">
        <v>51</v>
      </c>
      <c r="G436" s="158" t="s">
        <v>52</v>
      </c>
      <c r="H436" s="48">
        <f t="shared" ref="H436:H438" si="84">K436-I436</f>
        <v>405</v>
      </c>
      <c r="I436" s="42">
        <f t="shared" ref="I436:I438" si="85">K436*19%</f>
        <v>95</v>
      </c>
      <c r="J436" s="42">
        <v>0.0</v>
      </c>
      <c r="K436" s="48">
        <v>500.0</v>
      </c>
      <c r="L436" s="61" t="s">
        <v>75</v>
      </c>
      <c r="M436" s="31" t="s">
        <v>38</v>
      </c>
      <c r="N436" s="61" t="s">
        <v>44</v>
      </c>
      <c r="O436" s="61" t="s">
        <v>970</v>
      </c>
      <c r="P436" s="207" t="s">
        <v>971</v>
      </c>
      <c r="Q436" s="61"/>
      <c r="R436" s="61"/>
      <c r="S436" s="61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</row>
    <row r="437" ht="22.5" customHeight="1">
      <c r="A437" s="157" t="s">
        <v>148</v>
      </c>
      <c r="B437" s="158" t="s">
        <v>48</v>
      </c>
      <c r="C437" s="158">
        <v>1040492.0</v>
      </c>
      <c r="D437" s="158" t="s">
        <v>969</v>
      </c>
      <c r="E437" s="159">
        <v>45889.0</v>
      </c>
      <c r="F437" s="288" t="s">
        <v>51</v>
      </c>
      <c r="G437" s="158" t="s">
        <v>52</v>
      </c>
      <c r="H437" s="48">
        <f t="shared" si="84"/>
        <v>2721.6</v>
      </c>
      <c r="I437" s="42">
        <f t="shared" si="85"/>
        <v>638.4</v>
      </c>
      <c r="J437" s="42">
        <v>0.0</v>
      </c>
      <c r="K437" s="48">
        <v>3360.0</v>
      </c>
      <c r="L437" s="61" t="s">
        <v>75</v>
      </c>
      <c r="M437" s="31" t="s">
        <v>38</v>
      </c>
      <c r="N437" s="61" t="s">
        <v>44</v>
      </c>
      <c r="O437" s="61" t="s">
        <v>972</v>
      </c>
      <c r="P437" s="207" t="s">
        <v>973</v>
      </c>
      <c r="Q437" s="61"/>
      <c r="R437" s="61"/>
      <c r="S437" s="61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</row>
    <row r="438" ht="22.5" customHeight="1">
      <c r="A438" s="157" t="s">
        <v>148</v>
      </c>
      <c r="B438" s="158" t="s">
        <v>48</v>
      </c>
      <c r="C438" s="158">
        <v>3752213.0</v>
      </c>
      <c r="D438" s="158" t="s">
        <v>974</v>
      </c>
      <c r="E438" s="159">
        <v>45889.0</v>
      </c>
      <c r="F438" s="288" t="s">
        <v>51</v>
      </c>
      <c r="G438" s="158" t="s">
        <v>52</v>
      </c>
      <c r="H438" s="48">
        <f t="shared" si="84"/>
        <v>9766.98</v>
      </c>
      <c r="I438" s="42">
        <f t="shared" si="85"/>
        <v>2291.02</v>
      </c>
      <c r="J438" s="42">
        <v>0.0</v>
      </c>
      <c r="K438" s="48">
        <v>12058.0</v>
      </c>
      <c r="L438" s="61" t="s">
        <v>75</v>
      </c>
      <c r="M438" s="31" t="s">
        <v>38</v>
      </c>
      <c r="N438" s="61" t="s">
        <v>44</v>
      </c>
      <c r="O438" s="61" t="s">
        <v>975</v>
      </c>
      <c r="P438" s="207" t="s">
        <v>976</v>
      </c>
      <c r="Q438" s="61"/>
      <c r="R438" s="61"/>
      <c r="S438" s="61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</row>
    <row r="439" ht="22.5" customHeight="1">
      <c r="A439" s="157" t="s">
        <v>177</v>
      </c>
      <c r="B439" s="158" t="s">
        <v>48</v>
      </c>
      <c r="C439" s="158">
        <v>2.4111822E7</v>
      </c>
      <c r="D439" s="158" t="s">
        <v>421</v>
      </c>
      <c r="E439" s="159">
        <v>45889.0</v>
      </c>
      <c r="F439" s="288" t="s">
        <v>51</v>
      </c>
      <c r="G439" s="158" t="s">
        <v>52</v>
      </c>
      <c r="H439" s="48">
        <v>6537.0</v>
      </c>
      <c r="I439" s="48">
        <v>1243.0</v>
      </c>
      <c r="J439" s="42">
        <v>0.0</v>
      </c>
      <c r="K439" s="48">
        <v>7780.0</v>
      </c>
      <c r="L439" s="61" t="s">
        <v>75</v>
      </c>
      <c r="M439" s="31" t="s">
        <v>38</v>
      </c>
      <c r="N439" s="61" t="s">
        <v>44</v>
      </c>
      <c r="O439" s="61" t="s">
        <v>977</v>
      </c>
      <c r="P439" s="207" t="s">
        <v>978</v>
      </c>
      <c r="Q439" s="61"/>
      <c r="R439" s="61"/>
      <c r="S439" s="61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</row>
    <row r="440" ht="22.5" customHeight="1">
      <c r="A440" s="157" t="s">
        <v>148</v>
      </c>
      <c r="B440" s="158" t="s">
        <v>48</v>
      </c>
      <c r="C440" s="158">
        <v>3.16384705E9</v>
      </c>
      <c r="D440" s="158" t="s">
        <v>421</v>
      </c>
      <c r="E440" s="159">
        <v>45889.0</v>
      </c>
      <c r="F440" s="288" t="s">
        <v>601</v>
      </c>
      <c r="G440" s="158" t="s">
        <v>52</v>
      </c>
      <c r="H440" s="48">
        <f t="shared" ref="H440:H443" si="86">K440-I440</f>
        <v>850.5</v>
      </c>
      <c r="I440" s="42">
        <f t="shared" ref="I440:I443" si="87">K440*19%</f>
        <v>199.5</v>
      </c>
      <c r="J440" s="42">
        <v>0.0</v>
      </c>
      <c r="K440" s="48">
        <v>1050.0</v>
      </c>
      <c r="L440" s="61" t="s">
        <v>75</v>
      </c>
      <c r="M440" s="31" t="s">
        <v>38</v>
      </c>
      <c r="N440" s="61" t="s">
        <v>44</v>
      </c>
      <c r="O440" s="61" t="s">
        <v>977</v>
      </c>
      <c r="P440" s="207" t="s">
        <v>979</v>
      </c>
      <c r="Q440" s="61"/>
      <c r="R440" s="61"/>
      <c r="S440" s="61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</row>
    <row r="441" ht="22.5" customHeight="1">
      <c r="A441" s="157" t="s">
        <v>148</v>
      </c>
      <c r="B441" s="158" t="s">
        <v>48</v>
      </c>
      <c r="C441" s="158">
        <v>6.8525102E7</v>
      </c>
      <c r="D441" s="158" t="s">
        <v>980</v>
      </c>
      <c r="E441" s="159">
        <v>45889.0</v>
      </c>
      <c r="F441" s="288" t="s">
        <v>51</v>
      </c>
      <c r="G441" s="158" t="s">
        <v>52</v>
      </c>
      <c r="H441" s="48">
        <f t="shared" si="86"/>
        <v>12028.5</v>
      </c>
      <c r="I441" s="42">
        <f t="shared" si="87"/>
        <v>2821.5</v>
      </c>
      <c r="J441" s="42">
        <v>0.0</v>
      </c>
      <c r="K441" s="48">
        <v>14850.0</v>
      </c>
      <c r="L441" s="61" t="s">
        <v>75</v>
      </c>
      <c r="M441" s="31" t="s">
        <v>38</v>
      </c>
      <c r="N441" s="61" t="s">
        <v>44</v>
      </c>
      <c r="O441" s="61" t="s">
        <v>977</v>
      </c>
      <c r="P441" s="207" t="s">
        <v>981</v>
      </c>
      <c r="Q441" s="61"/>
      <c r="R441" s="61"/>
      <c r="S441" s="61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</row>
    <row r="442" ht="22.5" customHeight="1">
      <c r="A442" s="157" t="s">
        <v>148</v>
      </c>
      <c r="B442" s="158" t="s">
        <v>48</v>
      </c>
      <c r="C442" s="158">
        <v>1.52878036E8</v>
      </c>
      <c r="D442" s="158" t="s">
        <v>982</v>
      </c>
      <c r="E442" s="159">
        <v>45889.0</v>
      </c>
      <c r="F442" s="288" t="s">
        <v>51</v>
      </c>
      <c r="G442" s="158" t="s">
        <v>52</v>
      </c>
      <c r="H442" s="48">
        <f t="shared" si="86"/>
        <v>1458</v>
      </c>
      <c r="I442" s="42">
        <f t="shared" si="87"/>
        <v>342</v>
      </c>
      <c r="J442" s="42">
        <v>0.0</v>
      </c>
      <c r="K442" s="48">
        <v>1800.0</v>
      </c>
      <c r="L442" s="61" t="s">
        <v>75</v>
      </c>
      <c r="M442" s="31" t="s">
        <v>38</v>
      </c>
      <c r="N442" s="61" t="s">
        <v>44</v>
      </c>
      <c r="O442" s="61" t="s">
        <v>972</v>
      </c>
      <c r="P442" s="207" t="s">
        <v>983</v>
      </c>
      <c r="Q442" s="61"/>
      <c r="R442" s="61"/>
      <c r="S442" s="61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</row>
    <row r="443" ht="22.5" customHeight="1">
      <c r="A443" s="157" t="s">
        <v>148</v>
      </c>
      <c r="B443" s="158" t="s">
        <v>48</v>
      </c>
      <c r="C443" s="158"/>
      <c r="D443" s="158" t="s">
        <v>984</v>
      </c>
      <c r="E443" s="159">
        <v>45889.0</v>
      </c>
      <c r="F443" s="288" t="s">
        <v>51</v>
      </c>
      <c r="G443" s="158" t="s">
        <v>52</v>
      </c>
      <c r="H443" s="48">
        <f t="shared" si="86"/>
        <v>891</v>
      </c>
      <c r="I443" s="42">
        <f t="shared" si="87"/>
        <v>209</v>
      </c>
      <c r="J443" s="42">
        <v>0.0</v>
      </c>
      <c r="K443" s="48">
        <v>1100.0</v>
      </c>
      <c r="L443" s="61" t="s">
        <v>75</v>
      </c>
      <c r="M443" s="31" t="s">
        <v>38</v>
      </c>
      <c r="N443" s="61" t="s">
        <v>44</v>
      </c>
      <c r="O443" s="61" t="s">
        <v>965</v>
      </c>
      <c r="P443" s="207" t="s">
        <v>948</v>
      </c>
      <c r="Q443" s="61"/>
      <c r="R443" s="61"/>
      <c r="S443" s="61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</row>
    <row r="444" ht="22.5" customHeight="1">
      <c r="A444" s="157" t="s">
        <v>177</v>
      </c>
      <c r="B444" s="158" t="s">
        <v>48</v>
      </c>
      <c r="C444" s="158">
        <v>1690851.0</v>
      </c>
      <c r="D444" s="158" t="s">
        <v>985</v>
      </c>
      <c r="E444" s="159">
        <v>45889.0</v>
      </c>
      <c r="F444" s="288" t="s">
        <v>986</v>
      </c>
      <c r="G444" s="158" t="s">
        <v>187</v>
      </c>
      <c r="H444" s="48">
        <v>44289.0</v>
      </c>
      <c r="I444" s="48">
        <v>8415.0</v>
      </c>
      <c r="J444" s="42">
        <v>0.0</v>
      </c>
      <c r="K444" s="48">
        <v>52704.0</v>
      </c>
      <c r="L444" s="61" t="s">
        <v>75</v>
      </c>
      <c r="M444" s="31" t="s">
        <v>38</v>
      </c>
      <c r="N444" s="61" t="s">
        <v>44</v>
      </c>
      <c r="O444" s="61" t="s">
        <v>987</v>
      </c>
      <c r="P444" s="207" t="s">
        <v>988</v>
      </c>
      <c r="Q444" s="61"/>
      <c r="R444" s="61"/>
      <c r="S444" s="61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</row>
    <row r="445" ht="22.5" customHeight="1">
      <c r="A445" s="157" t="s">
        <v>148</v>
      </c>
      <c r="B445" s="158" t="s">
        <v>48</v>
      </c>
      <c r="C445" s="158">
        <v>1.2528546711E10</v>
      </c>
      <c r="D445" s="158" t="s">
        <v>989</v>
      </c>
      <c r="E445" s="159">
        <v>45888.0</v>
      </c>
      <c r="F445" s="288" t="s">
        <v>51</v>
      </c>
      <c r="G445" s="158" t="s">
        <v>52</v>
      </c>
      <c r="H445" s="48">
        <f t="shared" ref="H445:H446" si="88">K445-I445</f>
        <v>1782</v>
      </c>
      <c r="I445" s="42">
        <f t="shared" ref="I445:I446" si="89">K445*19%</f>
        <v>418</v>
      </c>
      <c r="J445" s="42">
        <v>0.0</v>
      </c>
      <c r="K445" s="48">
        <v>2200.0</v>
      </c>
      <c r="L445" s="61" t="s">
        <v>75</v>
      </c>
      <c r="M445" s="31" t="s">
        <v>38</v>
      </c>
      <c r="N445" s="61" t="s">
        <v>44</v>
      </c>
      <c r="O445" s="61" t="s">
        <v>989</v>
      </c>
      <c r="P445" s="207" t="s">
        <v>990</v>
      </c>
      <c r="Q445" s="61"/>
      <c r="R445" s="61"/>
      <c r="S445" s="61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</row>
    <row r="446" ht="22.5" customHeight="1">
      <c r="A446" s="157" t="s">
        <v>148</v>
      </c>
      <c r="B446" s="158" t="s">
        <v>48</v>
      </c>
      <c r="C446" s="158">
        <v>1038.0</v>
      </c>
      <c r="D446" s="158" t="s">
        <v>991</v>
      </c>
      <c r="E446" s="159">
        <v>45888.0</v>
      </c>
      <c r="F446" s="288" t="s">
        <v>151</v>
      </c>
      <c r="G446" s="158" t="s">
        <v>151</v>
      </c>
      <c r="H446" s="48">
        <f t="shared" si="88"/>
        <v>891</v>
      </c>
      <c r="I446" s="42">
        <f t="shared" si="89"/>
        <v>209</v>
      </c>
      <c r="J446" s="42">
        <v>0.0</v>
      </c>
      <c r="K446" s="48">
        <v>1100.0</v>
      </c>
      <c r="L446" s="61" t="str">
        <f>L443</f>
        <v>08 Antofagasta - 607698-2-COT25 - MOP</v>
      </c>
      <c r="M446" s="31" t="s">
        <v>38</v>
      </c>
      <c r="N446" s="61" t="s">
        <v>44</v>
      </c>
      <c r="O446" s="61" t="s">
        <v>965</v>
      </c>
      <c r="P446" s="207" t="s">
        <v>992</v>
      </c>
      <c r="Q446" s="61"/>
      <c r="R446" s="61"/>
      <c r="S446" s="61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</row>
    <row r="447" ht="22.5" customHeight="1">
      <c r="A447" s="157" t="s">
        <v>69</v>
      </c>
      <c r="B447" s="158" t="s">
        <v>48</v>
      </c>
      <c r="C447" s="158">
        <v>1.53129663E8</v>
      </c>
      <c r="D447" s="158" t="s">
        <v>993</v>
      </c>
      <c r="E447" s="159">
        <v>45888.0</v>
      </c>
      <c r="F447" s="288" t="s">
        <v>51</v>
      </c>
      <c r="G447" s="158" t="s">
        <v>52</v>
      </c>
      <c r="H447" s="48">
        <v>5454.0</v>
      </c>
      <c r="I447" s="48">
        <v>1036.0</v>
      </c>
      <c r="J447" s="42">
        <v>0.0</v>
      </c>
      <c r="K447" s="48">
        <v>6490.0</v>
      </c>
      <c r="L447" s="61" t="s">
        <v>75</v>
      </c>
      <c r="M447" s="31" t="s">
        <v>38</v>
      </c>
      <c r="N447" s="61" t="s">
        <v>44</v>
      </c>
      <c r="O447" s="61" t="s">
        <v>977</v>
      </c>
      <c r="P447" s="207" t="s">
        <v>994</v>
      </c>
      <c r="Q447" s="61"/>
      <c r="R447" s="61"/>
      <c r="S447" s="61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</row>
    <row r="448" ht="22.5" customHeight="1">
      <c r="A448" s="157" t="s">
        <v>148</v>
      </c>
      <c r="B448" s="158" t="s">
        <v>48</v>
      </c>
      <c r="C448" s="158">
        <v>3.161497148E9</v>
      </c>
      <c r="D448" s="158" t="s">
        <v>421</v>
      </c>
      <c r="E448" s="159">
        <v>45888.0</v>
      </c>
      <c r="F448" s="288" t="s">
        <v>51</v>
      </c>
      <c r="G448" s="158" t="s">
        <v>52</v>
      </c>
      <c r="H448" s="48">
        <f>K448-I448</f>
        <v>5474.79</v>
      </c>
      <c r="I448" s="42">
        <f>K448*19%</f>
        <v>1284.21</v>
      </c>
      <c r="J448" s="42">
        <v>0.0</v>
      </c>
      <c r="K448" s="48">
        <v>6759.0</v>
      </c>
      <c r="L448" s="61" t="s">
        <v>75</v>
      </c>
      <c r="M448" s="31" t="s">
        <v>38</v>
      </c>
      <c r="N448" s="61" t="s">
        <v>44</v>
      </c>
      <c r="O448" s="61" t="s">
        <v>977</v>
      </c>
      <c r="P448" s="207" t="s">
        <v>995</v>
      </c>
      <c r="Q448" s="61"/>
      <c r="R448" s="61"/>
      <c r="S448" s="61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</row>
    <row r="449" ht="22.5" customHeight="1">
      <c r="A449" s="123" t="s">
        <v>40</v>
      </c>
      <c r="B449" s="158" t="s">
        <v>48</v>
      </c>
      <c r="C449" s="158">
        <v>184.0</v>
      </c>
      <c r="D449" s="158" t="s">
        <v>996</v>
      </c>
      <c r="E449" s="159">
        <v>45888.0</v>
      </c>
      <c r="F449" s="288" t="s">
        <v>51</v>
      </c>
      <c r="G449" s="158" t="s">
        <v>52</v>
      </c>
      <c r="H449" s="48">
        <v>900000.0</v>
      </c>
      <c r="I449" s="48">
        <v>0.0</v>
      </c>
      <c r="J449" s="48">
        <v>152632.0</v>
      </c>
      <c r="K449" s="48">
        <f>SUM(H449:J449)</f>
        <v>1052632</v>
      </c>
      <c r="L449" s="207" t="s">
        <v>64</v>
      </c>
      <c r="M449" s="283" t="s">
        <v>37</v>
      </c>
      <c r="N449" s="61" t="s">
        <v>44</v>
      </c>
      <c r="O449" s="61" t="s">
        <v>997</v>
      </c>
      <c r="P449" s="207" t="s">
        <v>998</v>
      </c>
      <c r="Q449" s="61"/>
      <c r="R449" s="61"/>
      <c r="S449" s="61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</row>
    <row r="450" ht="22.5" customHeight="1">
      <c r="A450" s="157" t="s">
        <v>148</v>
      </c>
      <c r="B450" s="158" t="s">
        <v>48</v>
      </c>
      <c r="C450" s="158"/>
      <c r="D450" s="158" t="s">
        <v>999</v>
      </c>
      <c r="E450" s="159">
        <v>45888.0</v>
      </c>
      <c r="F450" s="288" t="s">
        <v>51</v>
      </c>
      <c r="G450" s="158" t="s">
        <v>52</v>
      </c>
      <c r="H450" s="48">
        <f t="shared" ref="H450:H451" si="90">K450-I450</f>
        <v>1215</v>
      </c>
      <c r="I450" s="42">
        <f t="shared" ref="I450:I451" si="91">K450*19%</f>
        <v>285</v>
      </c>
      <c r="J450" s="42">
        <v>0.0</v>
      </c>
      <c r="K450" s="48">
        <v>1500.0</v>
      </c>
      <c r="L450" s="61" t="s">
        <v>75</v>
      </c>
      <c r="M450" s="31" t="s">
        <v>38</v>
      </c>
      <c r="N450" s="61" t="s">
        <v>44</v>
      </c>
      <c r="O450" s="61" t="s">
        <v>977</v>
      </c>
      <c r="P450" s="61" t="s">
        <v>1000</v>
      </c>
      <c r="Q450" s="61"/>
      <c r="R450" s="61"/>
      <c r="S450" s="61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</row>
    <row r="451" ht="22.5" customHeight="1">
      <c r="A451" s="157" t="s">
        <v>148</v>
      </c>
      <c r="B451" s="158" t="s">
        <v>48</v>
      </c>
      <c r="C451" s="158"/>
      <c r="D451" s="158" t="s">
        <v>956</v>
      </c>
      <c r="E451" s="159">
        <v>45888.0</v>
      </c>
      <c r="F451" s="288" t="s">
        <v>51</v>
      </c>
      <c r="G451" s="158" t="s">
        <v>52</v>
      </c>
      <c r="H451" s="48">
        <f t="shared" si="90"/>
        <v>4657.5</v>
      </c>
      <c r="I451" s="42">
        <f t="shared" si="91"/>
        <v>1092.5</v>
      </c>
      <c r="J451" s="42">
        <v>0.0</v>
      </c>
      <c r="K451" s="48">
        <v>5750.0</v>
      </c>
      <c r="L451" s="61" t="s">
        <v>75</v>
      </c>
      <c r="M451" s="31" t="s">
        <v>38</v>
      </c>
      <c r="N451" s="61" t="s">
        <v>44</v>
      </c>
      <c r="O451" s="61" t="s">
        <v>1000</v>
      </c>
      <c r="P451" s="61" t="s">
        <v>1000</v>
      </c>
      <c r="Q451" s="61"/>
      <c r="R451" s="61"/>
      <c r="S451" s="61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</row>
    <row r="452" ht="22.5" customHeight="1">
      <c r="A452" s="157" t="s">
        <v>69</v>
      </c>
      <c r="B452" s="158" t="s">
        <v>48</v>
      </c>
      <c r="C452" s="158"/>
      <c r="D452" s="158" t="s">
        <v>1001</v>
      </c>
      <c r="E452" s="159">
        <v>45887.0</v>
      </c>
      <c r="F452" s="288" t="s">
        <v>51</v>
      </c>
      <c r="G452" s="158" t="s">
        <v>52</v>
      </c>
      <c r="H452" s="48">
        <v>0.0</v>
      </c>
      <c r="I452" s="48">
        <v>0.0</v>
      </c>
      <c r="J452" s="42">
        <v>0.0</v>
      </c>
      <c r="K452" s="48">
        <v>2450.0</v>
      </c>
      <c r="L452" s="61" t="s">
        <v>77</v>
      </c>
      <c r="M452" s="31" t="s">
        <v>37</v>
      </c>
      <c r="N452" s="61" t="s">
        <v>44</v>
      </c>
      <c r="O452" s="61" t="s">
        <v>972</v>
      </c>
      <c r="P452" s="61" t="s">
        <v>1000</v>
      </c>
      <c r="Q452" s="61"/>
      <c r="R452" s="61"/>
      <c r="S452" s="61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</row>
    <row r="453" ht="22.5" customHeight="1">
      <c r="A453" s="157" t="s">
        <v>148</v>
      </c>
      <c r="B453" s="158" t="s">
        <v>48</v>
      </c>
      <c r="C453" s="158">
        <v>28939.0</v>
      </c>
      <c r="D453" s="158" t="s">
        <v>1002</v>
      </c>
      <c r="E453" s="159">
        <v>45883.0</v>
      </c>
      <c r="F453" s="288" t="s">
        <v>51</v>
      </c>
      <c r="G453" s="158" t="s">
        <v>52</v>
      </c>
      <c r="H453" s="48">
        <f>K453-I453</f>
        <v>90050.13</v>
      </c>
      <c r="I453" s="42">
        <f>K453*19%</f>
        <v>21122.87</v>
      </c>
      <c r="J453" s="42">
        <v>0.0</v>
      </c>
      <c r="K453" s="48">
        <v>111173.0</v>
      </c>
      <c r="L453" s="61" t="s">
        <v>77</v>
      </c>
      <c r="M453" s="31" t="s">
        <v>37</v>
      </c>
      <c r="N453" s="61" t="s">
        <v>44</v>
      </c>
      <c r="O453" s="61" t="s">
        <v>1003</v>
      </c>
      <c r="P453" s="207" t="s">
        <v>1004</v>
      </c>
      <c r="Q453" s="61"/>
      <c r="R453" s="61"/>
      <c r="S453" s="61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</row>
    <row r="454" ht="22.5" customHeight="1">
      <c r="A454" s="157" t="s">
        <v>69</v>
      </c>
      <c r="B454" s="158" t="s">
        <v>48</v>
      </c>
      <c r="C454" s="158"/>
      <c r="D454" s="158" t="s">
        <v>1005</v>
      </c>
      <c r="E454" s="159">
        <v>45883.0</v>
      </c>
      <c r="F454" s="288" t="s">
        <v>51</v>
      </c>
      <c r="G454" s="158" t="s">
        <v>52</v>
      </c>
      <c r="H454" s="48">
        <v>0.0</v>
      </c>
      <c r="I454" s="48">
        <v>0.0</v>
      </c>
      <c r="J454" s="42">
        <v>0.0</v>
      </c>
      <c r="K454" s="48">
        <v>375.0</v>
      </c>
      <c r="L454" s="61" t="s">
        <v>77</v>
      </c>
      <c r="M454" s="31" t="s">
        <v>37</v>
      </c>
      <c r="N454" s="61" t="s">
        <v>44</v>
      </c>
      <c r="O454" s="61" t="s">
        <v>1006</v>
      </c>
      <c r="P454" s="61" t="s">
        <v>1000</v>
      </c>
      <c r="Q454" s="61"/>
      <c r="R454" s="61"/>
      <c r="S454" s="61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</row>
    <row r="455" ht="22.5" customHeight="1">
      <c r="A455" s="157" t="s">
        <v>177</v>
      </c>
      <c r="B455" s="158" t="s">
        <v>48</v>
      </c>
      <c r="C455" s="158">
        <v>5356898.0</v>
      </c>
      <c r="D455" s="158" t="s">
        <v>1007</v>
      </c>
      <c r="E455" s="159">
        <v>45882.0</v>
      </c>
      <c r="F455" s="288" t="s">
        <v>51</v>
      </c>
      <c r="G455" s="158" t="s">
        <v>52</v>
      </c>
      <c r="H455" s="48">
        <v>9235.0</v>
      </c>
      <c r="I455" s="48">
        <v>1755.0</v>
      </c>
      <c r="J455" s="42">
        <v>0.0</v>
      </c>
      <c r="K455" s="48">
        <v>10990.0</v>
      </c>
      <c r="L455" s="61" t="s">
        <v>77</v>
      </c>
      <c r="M455" s="31" t="s">
        <v>37</v>
      </c>
      <c r="N455" s="61" t="s">
        <v>44</v>
      </c>
      <c r="O455" s="61" t="s">
        <v>1008</v>
      </c>
      <c r="P455" s="207" t="s">
        <v>1009</v>
      </c>
      <c r="Q455" s="61"/>
      <c r="R455" s="61"/>
      <c r="S455" s="61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</row>
    <row r="456" ht="22.5" customHeight="1">
      <c r="A456" s="157" t="s">
        <v>177</v>
      </c>
      <c r="B456" s="158" t="s">
        <v>48</v>
      </c>
      <c r="C456" s="158">
        <v>3.5826554E7</v>
      </c>
      <c r="D456" s="158" t="s">
        <v>1010</v>
      </c>
      <c r="E456" s="159">
        <v>45881.0</v>
      </c>
      <c r="F456" s="288" t="s">
        <v>601</v>
      </c>
      <c r="G456" s="158" t="s">
        <v>52</v>
      </c>
      <c r="H456" s="48">
        <v>16798.0</v>
      </c>
      <c r="I456" s="48">
        <v>3192.0</v>
      </c>
      <c r="J456" s="42">
        <v>0.0</v>
      </c>
      <c r="K456" s="48">
        <v>19990.0</v>
      </c>
      <c r="L456" s="61" t="s">
        <v>75</v>
      </c>
      <c r="M456" s="31" t="s">
        <v>37</v>
      </c>
      <c r="N456" s="61" t="s">
        <v>44</v>
      </c>
      <c r="O456" s="61" t="s">
        <v>1011</v>
      </c>
      <c r="P456" s="207" t="s">
        <v>1012</v>
      </c>
      <c r="Q456" s="61"/>
      <c r="R456" s="61"/>
      <c r="S456" s="61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</row>
    <row r="457" ht="22.5" customHeight="1">
      <c r="A457" s="157" t="s">
        <v>69</v>
      </c>
      <c r="B457" s="158" t="s">
        <v>48</v>
      </c>
      <c r="C457" s="158"/>
      <c r="D457" s="158" t="s">
        <v>947</v>
      </c>
      <c r="E457" s="159">
        <v>45880.0</v>
      </c>
      <c r="F457" s="288" t="s">
        <v>51</v>
      </c>
      <c r="G457" s="158" t="s">
        <v>52</v>
      </c>
      <c r="H457" s="48">
        <v>0.0</v>
      </c>
      <c r="I457" s="48">
        <v>0.0</v>
      </c>
      <c r="J457" s="42">
        <v>0.0</v>
      </c>
      <c r="K457" s="48">
        <v>1000000.0</v>
      </c>
      <c r="L457" s="61" t="s">
        <v>142</v>
      </c>
      <c r="M457" s="31" t="s">
        <v>36</v>
      </c>
      <c r="N457" s="61" t="s">
        <v>47</v>
      </c>
      <c r="O457" s="61" t="s">
        <v>1013</v>
      </c>
      <c r="P457" s="207" t="s">
        <v>948</v>
      </c>
      <c r="Q457" s="61"/>
      <c r="R457" s="61"/>
      <c r="S457" s="61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</row>
    <row r="458" ht="22.5" customHeight="1">
      <c r="A458" s="157" t="s">
        <v>177</v>
      </c>
      <c r="B458" s="158" t="s">
        <v>48</v>
      </c>
      <c r="C458" s="158">
        <v>719568.0</v>
      </c>
      <c r="D458" s="158" t="s">
        <v>1014</v>
      </c>
      <c r="E458" s="159">
        <v>45880.0</v>
      </c>
      <c r="F458" s="288" t="s">
        <v>51</v>
      </c>
      <c r="G458" s="158" t="s">
        <v>52</v>
      </c>
      <c r="H458" s="48">
        <v>79476.0</v>
      </c>
      <c r="I458" s="48">
        <f>H458*19%</f>
        <v>15100.44</v>
      </c>
      <c r="J458" s="42">
        <v>0.0</v>
      </c>
      <c r="K458" s="48">
        <f>I458+H458</f>
        <v>94576.44</v>
      </c>
      <c r="L458" s="61" t="s">
        <v>75</v>
      </c>
      <c r="M458" s="31" t="s">
        <v>37</v>
      </c>
      <c r="N458" s="61" t="s">
        <v>44</v>
      </c>
      <c r="O458" s="61" t="s">
        <v>1015</v>
      </c>
      <c r="P458" s="207" t="s">
        <v>1016</v>
      </c>
      <c r="Q458" s="61"/>
      <c r="R458" s="61"/>
      <c r="S458" s="61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</row>
    <row r="459" ht="22.5" customHeight="1">
      <c r="A459" s="157" t="s">
        <v>69</v>
      </c>
      <c r="B459" s="158" t="s">
        <v>48</v>
      </c>
      <c r="C459" s="158"/>
      <c r="D459" s="158" t="s">
        <v>1017</v>
      </c>
      <c r="E459" s="159">
        <v>45877.0</v>
      </c>
      <c r="F459" s="288" t="s">
        <v>51</v>
      </c>
      <c r="G459" s="158" t="s">
        <v>52</v>
      </c>
      <c r="H459" s="48">
        <v>0.0</v>
      </c>
      <c r="I459" s="48">
        <v>0.0</v>
      </c>
      <c r="J459" s="42">
        <v>0.0</v>
      </c>
      <c r="K459" s="48">
        <v>21000.0</v>
      </c>
      <c r="L459" s="61" t="s">
        <v>77</v>
      </c>
      <c r="M459" s="31" t="s">
        <v>37</v>
      </c>
      <c r="N459" s="61" t="s">
        <v>46</v>
      </c>
      <c r="O459" s="61" t="s">
        <v>1017</v>
      </c>
      <c r="P459" s="207" t="s">
        <v>948</v>
      </c>
      <c r="Q459" s="61"/>
      <c r="R459" s="61"/>
      <c r="S459" s="61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</row>
    <row r="460" ht="22.5" customHeight="1">
      <c r="A460" s="157" t="s">
        <v>69</v>
      </c>
      <c r="B460" s="158" t="s">
        <v>614</v>
      </c>
      <c r="C460" s="158"/>
      <c r="D460" s="158" t="s">
        <v>1018</v>
      </c>
      <c r="E460" s="159">
        <v>45877.0</v>
      </c>
      <c r="F460" s="288" t="s">
        <v>51</v>
      </c>
      <c r="G460" s="158" t="s">
        <v>52</v>
      </c>
      <c r="H460" s="48">
        <v>0.0</v>
      </c>
      <c r="I460" s="48">
        <v>0.0</v>
      </c>
      <c r="J460" s="42">
        <v>0.0</v>
      </c>
      <c r="K460" s="48">
        <v>20090.0</v>
      </c>
      <c r="L460" s="61" t="s">
        <v>77</v>
      </c>
      <c r="M460" s="31" t="s">
        <v>37</v>
      </c>
      <c r="N460" s="61" t="s">
        <v>44</v>
      </c>
      <c r="O460" s="61" t="s">
        <v>1019</v>
      </c>
      <c r="P460" s="61"/>
      <c r="Q460" s="61"/>
      <c r="R460" s="61"/>
      <c r="S460" s="61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</row>
    <row r="461" ht="22.5" customHeight="1">
      <c r="A461" s="157" t="s">
        <v>69</v>
      </c>
      <c r="B461" s="158" t="s">
        <v>48</v>
      </c>
      <c r="C461" s="158"/>
      <c r="D461" s="158" t="s">
        <v>1017</v>
      </c>
      <c r="E461" s="159">
        <v>45877.0</v>
      </c>
      <c r="F461" s="288" t="s">
        <v>51</v>
      </c>
      <c r="G461" s="158" t="s">
        <v>52</v>
      </c>
      <c r="H461" s="48">
        <v>0.0</v>
      </c>
      <c r="I461" s="48">
        <v>0.0</v>
      </c>
      <c r="J461" s="42">
        <v>0.0</v>
      </c>
      <c r="K461" s="48">
        <v>14170.0</v>
      </c>
      <c r="L461" s="61" t="s">
        <v>77</v>
      </c>
      <c r="M461" s="31" t="s">
        <v>37</v>
      </c>
      <c r="N461" s="61" t="s">
        <v>44</v>
      </c>
      <c r="O461" s="61" t="s">
        <v>1017</v>
      </c>
      <c r="P461" s="207" t="s">
        <v>948</v>
      </c>
      <c r="Q461" s="61"/>
      <c r="R461" s="61"/>
      <c r="S461" s="61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</row>
    <row r="462" ht="22.5" customHeight="1">
      <c r="A462" s="157" t="s">
        <v>148</v>
      </c>
      <c r="B462" s="158" t="s">
        <v>48</v>
      </c>
      <c r="C462" s="158"/>
      <c r="D462" s="158" t="s">
        <v>1020</v>
      </c>
      <c r="E462" s="159">
        <v>45875.0</v>
      </c>
      <c r="F462" s="288" t="s">
        <v>601</v>
      </c>
      <c r="G462" s="158" t="s">
        <v>52</v>
      </c>
      <c r="H462" s="48">
        <f>K462-I462</f>
        <v>57652.56</v>
      </c>
      <c r="I462" s="42">
        <f>K462*19%</f>
        <v>13523.44</v>
      </c>
      <c r="J462" s="42">
        <v>0.0</v>
      </c>
      <c r="K462" s="48">
        <v>71176.0</v>
      </c>
      <c r="L462" s="61" t="s">
        <v>75</v>
      </c>
      <c r="M462" s="31" t="s">
        <v>38</v>
      </c>
      <c r="N462" s="61" t="s">
        <v>44</v>
      </c>
      <c r="O462" s="61" t="s">
        <v>1021</v>
      </c>
      <c r="P462" s="61"/>
      <c r="Q462" s="61"/>
      <c r="R462" s="61"/>
      <c r="S462" s="61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</row>
    <row r="463" ht="22.5" customHeight="1">
      <c r="A463" s="157" t="s">
        <v>177</v>
      </c>
      <c r="B463" s="158" t="s">
        <v>48</v>
      </c>
      <c r="C463" s="158">
        <v>5.1943038E7</v>
      </c>
      <c r="D463" s="158" t="s">
        <v>876</v>
      </c>
      <c r="E463" s="159">
        <v>45870.0</v>
      </c>
      <c r="F463" s="288" t="s">
        <v>51</v>
      </c>
      <c r="G463" s="158" t="s">
        <v>52</v>
      </c>
      <c r="H463" s="48">
        <v>37970.0</v>
      </c>
      <c r="I463" s="48">
        <v>249.0</v>
      </c>
      <c r="J463" s="42">
        <v>0.0</v>
      </c>
      <c r="K463" s="48">
        <v>37980.0</v>
      </c>
      <c r="L463" s="61" t="s">
        <v>77</v>
      </c>
      <c r="M463" s="31" t="s">
        <v>37</v>
      </c>
      <c r="N463" s="61" t="s">
        <v>46</v>
      </c>
      <c r="O463" s="61" t="s">
        <v>1022</v>
      </c>
      <c r="P463" s="207" t="s">
        <v>1023</v>
      </c>
      <c r="Q463" s="61"/>
      <c r="R463" s="61"/>
      <c r="S463" s="61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</row>
    <row r="464" ht="22.5" customHeight="1">
      <c r="A464" s="157" t="s">
        <v>69</v>
      </c>
      <c r="B464" s="158" t="s">
        <v>48</v>
      </c>
      <c r="C464" s="158"/>
      <c r="D464" s="158" t="s">
        <v>947</v>
      </c>
      <c r="E464" s="159">
        <v>45864.0</v>
      </c>
      <c r="F464" s="288" t="s">
        <v>51</v>
      </c>
      <c r="G464" s="158" t="s">
        <v>52</v>
      </c>
      <c r="H464" s="48">
        <v>0.0</v>
      </c>
      <c r="I464" s="48">
        <v>0.0</v>
      </c>
      <c r="J464" s="42">
        <v>0.0</v>
      </c>
      <c r="K464" s="48">
        <v>1000000.0</v>
      </c>
      <c r="L464" s="61" t="s">
        <v>142</v>
      </c>
      <c r="M464" s="31" t="s">
        <v>36</v>
      </c>
      <c r="N464" s="61" t="s">
        <v>47</v>
      </c>
      <c r="O464" s="61" t="s">
        <v>1013</v>
      </c>
      <c r="P464" s="61"/>
      <c r="Q464" s="61"/>
      <c r="R464" s="61"/>
      <c r="S464" s="61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</row>
    <row r="465" ht="22.5" customHeight="1">
      <c r="A465" s="157" t="s">
        <v>69</v>
      </c>
      <c r="B465" s="158" t="s">
        <v>48</v>
      </c>
      <c r="C465" s="158"/>
      <c r="D465" s="158" t="s">
        <v>906</v>
      </c>
      <c r="E465" s="159">
        <v>45864.0</v>
      </c>
      <c r="F465" s="288" t="s">
        <v>51</v>
      </c>
      <c r="G465" s="158" t="s">
        <v>52</v>
      </c>
      <c r="H465" s="48">
        <v>0.0</v>
      </c>
      <c r="I465" s="48">
        <v>0.0</v>
      </c>
      <c r="J465" s="42">
        <v>0.0</v>
      </c>
      <c r="K465" s="48">
        <v>39209.0</v>
      </c>
      <c r="L465" s="61" t="s">
        <v>77</v>
      </c>
      <c r="M465" s="31" t="s">
        <v>37</v>
      </c>
      <c r="N465" s="61" t="s">
        <v>46</v>
      </c>
      <c r="O465" s="61" t="s">
        <v>1024</v>
      </c>
      <c r="P465" s="61"/>
      <c r="Q465" s="61"/>
      <c r="R465" s="61"/>
      <c r="S465" s="61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</row>
    <row r="466" ht="22.5" customHeight="1">
      <c r="A466" s="157" t="s">
        <v>177</v>
      </c>
      <c r="B466" s="158" t="s">
        <v>48</v>
      </c>
      <c r="C466" s="158">
        <v>2.046163E7</v>
      </c>
      <c r="D466" s="158" t="s">
        <v>876</v>
      </c>
      <c r="E466" s="159">
        <v>45861.0</v>
      </c>
      <c r="F466" s="288" t="s">
        <v>51</v>
      </c>
      <c r="G466" s="158" t="s">
        <v>52</v>
      </c>
      <c r="H466" s="48">
        <v>25321.0</v>
      </c>
      <c r="I466" s="48">
        <v>4811.0</v>
      </c>
      <c r="J466" s="42">
        <v>0.0</v>
      </c>
      <c r="K466" s="48">
        <v>30132.0</v>
      </c>
      <c r="L466" s="61" t="s">
        <v>77</v>
      </c>
      <c r="M466" s="31" t="s">
        <v>37</v>
      </c>
      <c r="N466" s="61" t="s">
        <v>46</v>
      </c>
      <c r="O466" s="61" t="s">
        <v>1025</v>
      </c>
      <c r="P466" s="207" t="s">
        <v>1026</v>
      </c>
      <c r="Q466" s="61"/>
      <c r="R466" s="61"/>
      <c r="S466" s="61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</row>
    <row r="467" ht="22.5" customHeight="1">
      <c r="A467" s="246" t="s">
        <v>148</v>
      </c>
      <c r="B467" s="231" t="s">
        <v>48</v>
      </c>
      <c r="C467" s="231">
        <v>3451.0</v>
      </c>
      <c r="D467" s="231" t="s">
        <v>1027</v>
      </c>
      <c r="E467" s="232">
        <v>45859.0</v>
      </c>
      <c r="F467" s="289" t="s">
        <v>151</v>
      </c>
      <c r="G467" s="231" t="s">
        <v>151</v>
      </c>
      <c r="H467" s="48">
        <f t="shared" ref="H467:H469" si="92">K467-I467</f>
        <v>1012.5</v>
      </c>
      <c r="I467" s="42">
        <f t="shared" ref="I467:I469" si="93">K467*19%</f>
        <v>237.5</v>
      </c>
      <c r="J467" s="42">
        <v>0.0</v>
      </c>
      <c r="K467" s="224">
        <v>1250.0</v>
      </c>
      <c r="L467" s="276" t="s">
        <v>70</v>
      </c>
      <c r="M467" s="277" t="s">
        <v>38</v>
      </c>
      <c r="N467" s="227" t="s">
        <v>44</v>
      </c>
      <c r="O467" s="227" t="s">
        <v>965</v>
      </c>
      <c r="P467" s="228" t="s">
        <v>1028</v>
      </c>
      <c r="Q467" s="227"/>
      <c r="R467" s="227"/>
      <c r="S467" s="227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</row>
    <row r="468" ht="22.5" customHeight="1">
      <c r="A468" s="157" t="s">
        <v>148</v>
      </c>
      <c r="B468" s="158" t="s">
        <v>48</v>
      </c>
      <c r="C468" s="158">
        <v>3301.0</v>
      </c>
      <c r="D468" s="158" t="s">
        <v>1029</v>
      </c>
      <c r="E468" s="159">
        <v>45859.0</v>
      </c>
      <c r="F468" s="288" t="s">
        <v>151</v>
      </c>
      <c r="G468" s="158" t="s">
        <v>151</v>
      </c>
      <c r="H468" s="48">
        <f t="shared" si="92"/>
        <v>1012.5</v>
      </c>
      <c r="I468" s="42">
        <f t="shared" si="93"/>
        <v>237.5</v>
      </c>
      <c r="J468" s="42">
        <v>0.0</v>
      </c>
      <c r="K468" s="48">
        <v>1250.0</v>
      </c>
      <c r="L468" s="173" t="s">
        <v>70</v>
      </c>
      <c r="M468" s="209" t="s">
        <v>38</v>
      </c>
      <c r="N468" s="61" t="s">
        <v>44</v>
      </c>
      <c r="O468" s="61" t="s">
        <v>965</v>
      </c>
      <c r="P468" s="207" t="s">
        <v>1030</v>
      </c>
      <c r="Q468" s="61"/>
      <c r="R468" s="61"/>
      <c r="S468" s="61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</row>
    <row r="469" ht="22.5" customHeight="1">
      <c r="A469" s="229" t="s">
        <v>148</v>
      </c>
      <c r="B469" s="211" t="s">
        <v>48</v>
      </c>
      <c r="C469" s="211">
        <v>2470.0</v>
      </c>
      <c r="D469" s="211" t="s">
        <v>1031</v>
      </c>
      <c r="E469" s="212">
        <v>45859.0</v>
      </c>
      <c r="F469" s="290" t="s">
        <v>601</v>
      </c>
      <c r="G469" s="211" t="s">
        <v>151</v>
      </c>
      <c r="H469" s="48">
        <f t="shared" si="92"/>
        <v>5167.8</v>
      </c>
      <c r="I469" s="42">
        <f t="shared" si="93"/>
        <v>1212.2</v>
      </c>
      <c r="J469" s="214">
        <v>0.0</v>
      </c>
      <c r="K469" s="215">
        <v>6380.0</v>
      </c>
      <c r="L469" s="216" t="s">
        <v>70</v>
      </c>
      <c r="M469" s="278" t="s">
        <v>37</v>
      </c>
      <c r="N469" s="217" t="s">
        <v>44</v>
      </c>
      <c r="O469" s="217" t="s">
        <v>1032</v>
      </c>
      <c r="P469" s="218" t="s">
        <v>1033</v>
      </c>
      <c r="Q469" s="217"/>
      <c r="R469" s="217"/>
      <c r="S469" s="217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</row>
    <row r="470" ht="22.5" customHeight="1">
      <c r="A470" s="157" t="s">
        <v>177</v>
      </c>
      <c r="B470" s="158" t="s">
        <v>48</v>
      </c>
      <c r="C470" s="158">
        <v>5.1943038E7</v>
      </c>
      <c r="D470" s="158" t="s">
        <v>876</v>
      </c>
      <c r="E470" s="159">
        <v>45858.0</v>
      </c>
      <c r="F470" s="288" t="s">
        <v>601</v>
      </c>
      <c r="G470" s="158" t="s">
        <v>52</v>
      </c>
      <c r="H470" s="48">
        <v>37031.0</v>
      </c>
      <c r="I470" s="48">
        <v>949.0</v>
      </c>
      <c r="J470" s="42">
        <v>0.0</v>
      </c>
      <c r="K470" s="48">
        <v>37980.0</v>
      </c>
      <c r="L470" s="61" t="s">
        <v>77</v>
      </c>
      <c r="M470" s="31" t="s">
        <v>37</v>
      </c>
      <c r="N470" s="61" t="s">
        <v>46</v>
      </c>
      <c r="O470" s="61" t="s">
        <v>1034</v>
      </c>
      <c r="P470" s="207" t="s">
        <v>1023</v>
      </c>
      <c r="Q470" s="61"/>
      <c r="R470" s="61"/>
      <c r="S470" s="61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</row>
    <row r="471" ht="22.5" customHeight="1">
      <c r="A471" s="157" t="s">
        <v>177</v>
      </c>
      <c r="B471" s="158" t="s">
        <v>48</v>
      </c>
      <c r="C471" s="158">
        <v>2229592.0</v>
      </c>
      <c r="D471" s="158" t="s">
        <v>1035</v>
      </c>
      <c r="E471" s="159">
        <v>45858.0</v>
      </c>
      <c r="F471" s="288" t="s">
        <v>986</v>
      </c>
      <c r="G471" s="158" t="s">
        <v>187</v>
      </c>
      <c r="H471" s="48">
        <v>924361.0</v>
      </c>
      <c r="I471" s="48">
        <v>175629.0</v>
      </c>
      <c r="J471" s="42">
        <v>0.0</v>
      </c>
      <c r="K471" s="48">
        <v>1099990.0</v>
      </c>
      <c r="L471" s="61" t="s">
        <v>77</v>
      </c>
      <c r="M471" s="31" t="s">
        <v>37</v>
      </c>
      <c r="N471" s="61" t="s">
        <v>44</v>
      </c>
      <c r="O471" s="61" t="s">
        <v>1036</v>
      </c>
      <c r="P471" s="207" t="s">
        <v>1037</v>
      </c>
      <c r="Q471" s="61"/>
      <c r="R471" s="61"/>
      <c r="S471" s="61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</row>
    <row r="472" ht="22.5" customHeight="1">
      <c r="A472" s="157" t="s">
        <v>177</v>
      </c>
      <c r="B472" s="158" t="s">
        <v>48</v>
      </c>
      <c r="C472" s="158">
        <v>1.2725601E7</v>
      </c>
      <c r="D472" s="158" t="s">
        <v>232</v>
      </c>
      <c r="E472" s="159">
        <v>45857.0</v>
      </c>
      <c r="F472" s="288" t="s">
        <v>51</v>
      </c>
      <c r="G472" s="158" t="s">
        <v>52</v>
      </c>
      <c r="H472" s="48">
        <v>14136.0</v>
      </c>
      <c r="I472" s="48">
        <v>2686.0</v>
      </c>
      <c r="J472" s="42">
        <v>0.0</v>
      </c>
      <c r="K472" s="48">
        <v>16822.0</v>
      </c>
      <c r="L472" s="207" t="s">
        <v>64</v>
      </c>
      <c r="M472" s="283" t="s">
        <v>37</v>
      </c>
      <c r="N472" s="61" t="s">
        <v>44</v>
      </c>
      <c r="O472" s="61" t="s">
        <v>1038</v>
      </c>
      <c r="P472" s="207" t="s">
        <v>1039</v>
      </c>
      <c r="Q472" s="61"/>
      <c r="R472" s="61"/>
      <c r="S472" s="61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</row>
    <row r="473" ht="22.5" customHeight="1">
      <c r="A473" s="157" t="s">
        <v>148</v>
      </c>
      <c r="B473" s="158" t="s">
        <v>48</v>
      </c>
      <c r="C473" s="158">
        <v>3297365.0</v>
      </c>
      <c r="D473" s="158" t="s">
        <v>1040</v>
      </c>
      <c r="E473" s="159">
        <v>45857.0</v>
      </c>
      <c r="F473" s="288" t="s">
        <v>51</v>
      </c>
      <c r="G473" s="158" t="s">
        <v>52</v>
      </c>
      <c r="H473" s="48">
        <f>K473-I473</f>
        <v>26295.84</v>
      </c>
      <c r="I473" s="42">
        <f>K473*19%</f>
        <v>6168.16</v>
      </c>
      <c r="J473" s="42">
        <v>0.0</v>
      </c>
      <c r="K473" s="48">
        <v>32464.0</v>
      </c>
      <c r="L473" s="61" t="s">
        <v>77</v>
      </c>
      <c r="M473" s="31" t="s">
        <v>37</v>
      </c>
      <c r="N473" s="61" t="s">
        <v>44</v>
      </c>
      <c r="O473" s="61" t="s">
        <v>975</v>
      </c>
      <c r="P473" s="207" t="s">
        <v>1041</v>
      </c>
      <c r="Q473" s="61"/>
      <c r="R473" s="61"/>
      <c r="S473" s="61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</row>
    <row r="474" ht="22.5" customHeight="1">
      <c r="A474" s="157" t="s">
        <v>177</v>
      </c>
      <c r="B474" s="158" t="s">
        <v>48</v>
      </c>
      <c r="C474" s="158">
        <v>2.4742103E7</v>
      </c>
      <c r="D474" s="158" t="s">
        <v>421</v>
      </c>
      <c r="E474" s="159">
        <v>45855.0</v>
      </c>
      <c r="F474" s="288" t="s">
        <v>51</v>
      </c>
      <c r="G474" s="158" t="s">
        <v>52</v>
      </c>
      <c r="H474" s="48">
        <v>5790.0</v>
      </c>
      <c r="I474" s="48">
        <v>1100.0</v>
      </c>
      <c r="J474" s="42">
        <v>0.0</v>
      </c>
      <c r="K474" s="48">
        <v>6890.0</v>
      </c>
      <c r="L474" s="61" t="s">
        <v>77</v>
      </c>
      <c r="M474" s="31" t="s">
        <v>37</v>
      </c>
      <c r="N474" s="61" t="s">
        <v>44</v>
      </c>
      <c r="O474" s="61" t="s">
        <v>1042</v>
      </c>
      <c r="P474" s="207" t="s">
        <v>1043</v>
      </c>
      <c r="Q474" s="61"/>
      <c r="R474" s="61"/>
      <c r="S474" s="61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</row>
    <row r="475" ht="22.5" customHeight="1">
      <c r="A475" s="157" t="s">
        <v>177</v>
      </c>
      <c r="B475" s="158" t="s">
        <v>48</v>
      </c>
      <c r="C475" s="158">
        <v>1.2724801E7</v>
      </c>
      <c r="D475" s="158" t="s">
        <v>232</v>
      </c>
      <c r="E475" s="159">
        <v>45855.0</v>
      </c>
      <c r="F475" s="288" t="s">
        <v>51</v>
      </c>
      <c r="G475" s="158" t="s">
        <v>52</v>
      </c>
      <c r="H475" s="48">
        <v>1588.0</v>
      </c>
      <c r="I475" s="48">
        <v>302.0</v>
      </c>
      <c r="J475" s="42">
        <v>0.0</v>
      </c>
      <c r="K475" s="48">
        <v>1890.0</v>
      </c>
      <c r="L475" s="207" t="s">
        <v>64</v>
      </c>
      <c r="M475" s="283" t="s">
        <v>37</v>
      </c>
      <c r="N475" s="61" t="s">
        <v>44</v>
      </c>
      <c r="O475" s="61" t="s">
        <v>1044</v>
      </c>
      <c r="P475" s="207" t="s">
        <v>1045</v>
      </c>
      <c r="Q475" s="61"/>
      <c r="R475" s="61"/>
      <c r="S475" s="61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</row>
    <row r="476" ht="22.5" customHeight="1">
      <c r="A476" s="157" t="s">
        <v>148</v>
      </c>
      <c r="B476" s="158" t="s">
        <v>48</v>
      </c>
      <c r="C476" s="158">
        <v>3.37945933E8</v>
      </c>
      <c r="D476" s="158" t="s">
        <v>1046</v>
      </c>
      <c r="E476" s="159">
        <v>45852.0</v>
      </c>
      <c r="F476" s="288" t="s">
        <v>51</v>
      </c>
      <c r="G476" s="158" t="s">
        <v>52</v>
      </c>
      <c r="H476" s="48">
        <f t="shared" ref="H476:H482" si="94">K476-I476</f>
        <v>6957.9</v>
      </c>
      <c r="I476" s="42">
        <f t="shared" ref="I476:I482" si="95">K476*19%</f>
        <v>1632.1</v>
      </c>
      <c r="J476" s="42">
        <v>0.0</v>
      </c>
      <c r="K476" s="48">
        <v>8590.0</v>
      </c>
      <c r="L476" s="207" t="s">
        <v>64</v>
      </c>
      <c r="M476" s="283" t="s">
        <v>37</v>
      </c>
      <c r="N476" s="61" t="s">
        <v>44</v>
      </c>
      <c r="O476" s="61" t="s">
        <v>1047</v>
      </c>
      <c r="P476" s="207" t="s">
        <v>1048</v>
      </c>
      <c r="Q476" s="61"/>
      <c r="R476" s="61"/>
      <c r="S476" s="61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</row>
    <row r="477" ht="22.5" customHeight="1">
      <c r="A477" s="157" t="s">
        <v>148</v>
      </c>
      <c r="B477" s="158" t="s">
        <v>48</v>
      </c>
      <c r="C477" s="158">
        <v>1469207.0</v>
      </c>
      <c r="D477" s="158" t="s">
        <v>1049</v>
      </c>
      <c r="E477" s="159">
        <v>45850.0</v>
      </c>
      <c r="F477" s="288" t="s">
        <v>151</v>
      </c>
      <c r="G477" s="158" t="s">
        <v>151</v>
      </c>
      <c r="H477" s="48">
        <f t="shared" si="94"/>
        <v>4050</v>
      </c>
      <c r="I477" s="42">
        <f t="shared" si="95"/>
        <v>950</v>
      </c>
      <c r="J477" s="42">
        <v>0.0</v>
      </c>
      <c r="K477" s="48">
        <v>5000.0</v>
      </c>
      <c r="L477" s="207" t="s">
        <v>64</v>
      </c>
      <c r="M477" s="283" t="s">
        <v>38</v>
      </c>
      <c r="N477" s="61" t="s">
        <v>44</v>
      </c>
      <c r="O477" s="61" t="s">
        <v>965</v>
      </c>
      <c r="P477" s="207" t="s">
        <v>1050</v>
      </c>
      <c r="Q477" s="61"/>
      <c r="R477" s="61"/>
      <c r="S477" s="61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</row>
    <row r="478" ht="22.5" customHeight="1">
      <c r="A478" s="157" t="s">
        <v>148</v>
      </c>
      <c r="B478" s="158" t="s">
        <v>48</v>
      </c>
      <c r="C478" s="158">
        <v>12337.0</v>
      </c>
      <c r="D478" s="158" t="s">
        <v>1051</v>
      </c>
      <c r="E478" s="159">
        <v>45850.0</v>
      </c>
      <c r="F478" s="288" t="s">
        <v>151</v>
      </c>
      <c r="G478" s="158" t="s">
        <v>151</v>
      </c>
      <c r="H478" s="48">
        <f t="shared" si="94"/>
        <v>2268</v>
      </c>
      <c r="I478" s="42">
        <f t="shared" si="95"/>
        <v>532</v>
      </c>
      <c r="J478" s="42">
        <v>0.0</v>
      </c>
      <c r="K478" s="48">
        <v>2800.0</v>
      </c>
      <c r="L478" s="207" t="s">
        <v>64</v>
      </c>
      <c r="M478" s="283" t="s">
        <v>38</v>
      </c>
      <c r="N478" s="61" t="s">
        <v>44</v>
      </c>
      <c r="O478" s="61" t="s">
        <v>965</v>
      </c>
      <c r="P478" s="207" t="s">
        <v>1052</v>
      </c>
      <c r="Q478" s="61"/>
      <c r="R478" s="61"/>
      <c r="S478" s="61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</row>
    <row r="479" ht="22.5" customHeight="1">
      <c r="A479" s="157" t="s">
        <v>148</v>
      </c>
      <c r="B479" s="158" t="s">
        <v>48</v>
      </c>
      <c r="C479" s="158">
        <v>5772043.0</v>
      </c>
      <c r="D479" s="158" t="s">
        <v>1053</v>
      </c>
      <c r="E479" s="159">
        <v>45850.0</v>
      </c>
      <c r="F479" s="288" t="s">
        <v>151</v>
      </c>
      <c r="G479" s="158" t="s">
        <v>151</v>
      </c>
      <c r="H479" s="48">
        <f t="shared" si="94"/>
        <v>3280.5</v>
      </c>
      <c r="I479" s="42">
        <f t="shared" si="95"/>
        <v>769.5</v>
      </c>
      <c r="J479" s="42">
        <v>0.0</v>
      </c>
      <c r="K479" s="48">
        <v>4050.0</v>
      </c>
      <c r="L479" s="207" t="s">
        <v>64</v>
      </c>
      <c r="M479" s="283" t="s">
        <v>38</v>
      </c>
      <c r="N479" s="61" t="s">
        <v>44</v>
      </c>
      <c r="O479" s="61" t="s">
        <v>965</v>
      </c>
      <c r="P479" s="207" t="s">
        <v>1054</v>
      </c>
      <c r="Q479" s="61"/>
      <c r="R479" s="61"/>
      <c r="S479" s="61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</row>
    <row r="480" ht="22.5" customHeight="1">
      <c r="A480" s="157" t="s">
        <v>148</v>
      </c>
      <c r="B480" s="158" t="s">
        <v>48</v>
      </c>
      <c r="C480" s="158">
        <v>5262621.0</v>
      </c>
      <c r="D480" s="158" t="s">
        <v>1055</v>
      </c>
      <c r="E480" s="159">
        <v>45850.0</v>
      </c>
      <c r="F480" s="288" t="s">
        <v>51</v>
      </c>
      <c r="G480" s="158" t="s">
        <v>52</v>
      </c>
      <c r="H480" s="48">
        <f t="shared" si="94"/>
        <v>25471.26</v>
      </c>
      <c r="I480" s="42">
        <f t="shared" si="95"/>
        <v>5974.74</v>
      </c>
      <c r="J480" s="42">
        <v>0.0</v>
      </c>
      <c r="K480" s="48">
        <v>31446.0</v>
      </c>
      <c r="L480" s="207" t="s">
        <v>64</v>
      </c>
      <c r="M480" s="283" t="s">
        <v>38</v>
      </c>
      <c r="N480" s="61" t="s">
        <v>44</v>
      </c>
      <c r="O480" s="61" t="s">
        <v>975</v>
      </c>
      <c r="P480" s="207" t="s">
        <v>1056</v>
      </c>
      <c r="Q480" s="61"/>
      <c r="R480" s="61"/>
      <c r="S480" s="61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</row>
    <row r="481" ht="22.5" customHeight="1">
      <c r="A481" s="157" t="s">
        <v>148</v>
      </c>
      <c r="B481" s="158" t="s">
        <v>48</v>
      </c>
      <c r="C481" s="158">
        <v>5771787.0</v>
      </c>
      <c r="D481" s="158" t="s">
        <v>1053</v>
      </c>
      <c r="E481" s="159">
        <v>45850.0</v>
      </c>
      <c r="F481" s="288" t="s">
        <v>151</v>
      </c>
      <c r="G481" s="158" t="s">
        <v>151</v>
      </c>
      <c r="H481" s="48">
        <f t="shared" si="94"/>
        <v>3280.5</v>
      </c>
      <c r="I481" s="42">
        <f t="shared" si="95"/>
        <v>769.5</v>
      </c>
      <c r="J481" s="42">
        <v>0.0</v>
      </c>
      <c r="K481" s="48">
        <v>4050.0</v>
      </c>
      <c r="L481" s="207" t="s">
        <v>64</v>
      </c>
      <c r="M481" s="283" t="s">
        <v>38</v>
      </c>
      <c r="N481" s="61" t="s">
        <v>44</v>
      </c>
      <c r="O481" s="61" t="s">
        <v>965</v>
      </c>
      <c r="P481" s="207" t="s">
        <v>1057</v>
      </c>
      <c r="Q481" s="61"/>
      <c r="R481" s="61"/>
      <c r="S481" s="61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</row>
    <row r="482" ht="22.5" customHeight="1">
      <c r="A482" s="157" t="s">
        <v>148</v>
      </c>
      <c r="B482" s="158" t="s">
        <v>48</v>
      </c>
      <c r="C482" s="158">
        <v>3395890.0</v>
      </c>
      <c r="D482" s="158" t="s">
        <v>1058</v>
      </c>
      <c r="E482" s="159">
        <v>45850.0</v>
      </c>
      <c r="F482" s="288" t="s">
        <v>601</v>
      </c>
      <c r="G482" s="158" t="s">
        <v>52</v>
      </c>
      <c r="H482" s="48">
        <f t="shared" si="94"/>
        <v>19325.79</v>
      </c>
      <c r="I482" s="42">
        <f t="shared" si="95"/>
        <v>4533.21</v>
      </c>
      <c r="J482" s="42">
        <v>0.0</v>
      </c>
      <c r="K482" s="48">
        <v>23859.0</v>
      </c>
      <c r="L482" s="207" t="s">
        <v>64</v>
      </c>
      <c r="M482" s="283" t="s">
        <v>38</v>
      </c>
      <c r="N482" s="61" t="s">
        <v>44</v>
      </c>
      <c r="O482" s="61" t="s">
        <v>975</v>
      </c>
      <c r="P482" s="207" t="s">
        <v>1059</v>
      </c>
      <c r="Q482" s="61"/>
      <c r="R482" s="61"/>
      <c r="S482" s="61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</row>
    <row r="483" ht="22.5" customHeight="1">
      <c r="A483" s="157" t="s">
        <v>69</v>
      </c>
      <c r="B483" s="158" t="s">
        <v>48</v>
      </c>
      <c r="C483" s="158"/>
      <c r="D483" s="158" t="s">
        <v>1060</v>
      </c>
      <c r="E483" s="159">
        <v>45849.0</v>
      </c>
      <c r="F483" s="288" t="s">
        <v>151</v>
      </c>
      <c r="G483" s="158" t="s">
        <v>52</v>
      </c>
      <c r="H483" s="48">
        <v>0.0</v>
      </c>
      <c r="I483" s="48">
        <v>0.0</v>
      </c>
      <c r="J483" s="42">
        <v>0.0</v>
      </c>
      <c r="K483" s="48">
        <v>40000.0</v>
      </c>
      <c r="L483" s="207" t="s">
        <v>64</v>
      </c>
      <c r="M483" s="283" t="s">
        <v>38</v>
      </c>
      <c r="N483" s="61" t="s">
        <v>44</v>
      </c>
      <c r="O483" s="61" t="s">
        <v>1061</v>
      </c>
      <c r="P483" s="61" t="s">
        <v>1062</v>
      </c>
      <c r="Q483" s="61"/>
      <c r="R483" s="61"/>
      <c r="S483" s="61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</row>
    <row r="484" ht="22.5" customHeight="1">
      <c r="A484" s="157" t="s">
        <v>148</v>
      </c>
      <c r="B484" s="158" t="s">
        <v>48</v>
      </c>
      <c r="C484" s="158">
        <v>12317.0</v>
      </c>
      <c r="D484" s="158" t="s">
        <v>1051</v>
      </c>
      <c r="E484" s="159">
        <v>45849.0</v>
      </c>
      <c r="F484" s="288" t="s">
        <v>151</v>
      </c>
      <c r="G484" s="158" t="s">
        <v>151</v>
      </c>
      <c r="H484" s="48">
        <f t="shared" ref="H484:H491" si="96">K484-I484</f>
        <v>2268</v>
      </c>
      <c r="I484" s="42">
        <f t="shared" ref="I484:I491" si="97">K484*19%</f>
        <v>532</v>
      </c>
      <c r="J484" s="42">
        <v>0.0</v>
      </c>
      <c r="K484" s="48">
        <v>2800.0</v>
      </c>
      <c r="L484" s="207" t="s">
        <v>64</v>
      </c>
      <c r="M484" s="283" t="s">
        <v>38</v>
      </c>
      <c r="N484" s="61" t="s">
        <v>44</v>
      </c>
      <c r="O484" s="61" t="s">
        <v>965</v>
      </c>
      <c r="P484" s="207" t="s">
        <v>1063</v>
      </c>
      <c r="Q484" s="61"/>
      <c r="R484" s="61"/>
      <c r="S484" s="61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</row>
    <row r="485" ht="22.5" customHeight="1">
      <c r="A485" s="157" t="s">
        <v>148</v>
      </c>
      <c r="B485" s="158" t="s">
        <v>48</v>
      </c>
      <c r="C485" s="158">
        <v>731800.0</v>
      </c>
      <c r="D485" s="158" t="s">
        <v>1049</v>
      </c>
      <c r="E485" s="159">
        <v>45849.0</v>
      </c>
      <c r="F485" s="288" t="s">
        <v>151</v>
      </c>
      <c r="G485" s="158" t="s">
        <v>151</v>
      </c>
      <c r="H485" s="48">
        <f t="shared" si="96"/>
        <v>4050</v>
      </c>
      <c r="I485" s="42">
        <f t="shared" si="97"/>
        <v>950</v>
      </c>
      <c r="J485" s="42">
        <v>0.0</v>
      </c>
      <c r="K485" s="48">
        <v>5000.0</v>
      </c>
      <c r="L485" s="207" t="s">
        <v>64</v>
      </c>
      <c r="M485" s="283" t="s">
        <v>38</v>
      </c>
      <c r="N485" s="61" t="s">
        <v>44</v>
      </c>
      <c r="O485" s="61" t="s">
        <v>965</v>
      </c>
      <c r="P485" s="61" t="s">
        <v>1000</v>
      </c>
      <c r="Q485" s="61"/>
      <c r="R485" s="61"/>
      <c r="S485" s="61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</row>
    <row r="486" ht="22.5" customHeight="1">
      <c r="A486" s="157" t="s">
        <v>148</v>
      </c>
      <c r="B486" s="158" t="s">
        <v>48</v>
      </c>
      <c r="C486" s="158">
        <v>2463364.0</v>
      </c>
      <c r="D486" s="158" t="s">
        <v>1064</v>
      </c>
      <c r="E486" s="159">
        <v>45849.0</v>
      </c>
      <c r="F486" s="288" t="s">
        <v>51</v>
      </c>
      <c r="G486" s="158" t="s">
        <v>52</v>
      </c>
      <c r="H486" s="48">
        <f t="shared" si="96"/>
        <v>22091.94</v>
      </c>
      <c r="I486" s="42">
        <f t="shared" si="97"/>
        <v>5182.06</v>
      </c>
      <c r="J486" s="42">
        <v>0.0</v>
      </c>
      <c r="K486" s="48">
        <v>27274.0</v>
      </c>
      <c r="L486" s="207" t="s">
        <v>64</v>
      </c>
      <c r="M486" s="283" t="s">
        <v>38</v>
      </c>
      <c r="N486" s="61" t="s">
        <v>44</v>
      </c>
      <c r="O486" s="61" t="s">
        <v>975</v>
      </c>
      <c r="P486" s="207" t="s">
        <v>1065</v>
      </c>
      <c r="Q486" s="61"/>
      <c r="R486" s="61"/>
      <c r="S486" s="61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</row>
    <row r="487" ht="22.5" customHeight="1">
      <c r="A487" s="157" t="s">
        <v>148</v>
      </c>
      <c r="B487" s="158" t="s">
        <v>48</v>
      </c>
      <c r="C487" s="158">
        <v>6320237.0</v>
      </c>
      <c r="D487" s="158" t="s">
        <v>1053</v>
      </c>
      <c r="E487" s="159">
        <v>45849.0</v>
      </c>
      <c r="F487" s="288" t="s">
        <v>151</v>
      </c>
      <c r="G487" s="158" t="s">
        <v>151</v>
      </c>
      <c r="H487" s="48">
        <f t="shared" si="96"/>
        <v>3280.5</v>
      </c>
      <c r="I487" s="42">
        <f t="shared" si="97"/>
        <v>769.5</v>
      </c>
      <c r="J487" s="42">
        <v>0.0</v>
      </c>
      <c r="K487" s="48">
        <v>4050.0</v>
      </c>
      <c r="L487" s="207" t="s">
        <v>64</v>
      </c>
      <c r="M487" s="283" t="s">
        <v>38</v>
      </c>
      <c r="N487" s="61" t="s">
        <v>44</v>
      </c>
      <c r="O487" s="61" t="s">
        <v>965</v>
      </c>
      <c r="P487" s="207" t="s">
        <v>1066</v>
      </c>
      <c r="Q487" s="61"/>
      <c r="R487" s="61"/>
      <c r="S487" s="61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</row>
    <row r="488" ht="22.5" customHeight="1">
      <c r="A488" s="157" t="s">
        <v>148</v>
      </c>
      <c r="B488" s="158" t="s">
        <v>48</v>
      </c>
      <c r="C488" s="158">
        <v>5784577.0</v>
      </c>
      <c r="D488" s="158" t="s">
        <v>1053</v>
      </c>
      <c r="E488" s="159">
        <v>45849.0</v>
      </c>
      <c r="F488" s="288" t="s">
        <v>151</v>
      </c>
      <c r="G488" s="158" t="s">
        <v>151</v>
      </c>
      <c r="H488" s="48">
        <f t="shared" si="96"/>
        <v>3280.5</v>
      </c>
      <c r="I488" s="42">
        <f t="shared" si="97"/>
        <v>769.5</v>
      </c>
      <c r="J488" s="42">
        <v>0.0</v>
      </c>
      <c r="K488" s="48">
        <v>4050.0</v>
      </c>
      <c r="L488" s="207" t="s">
        <v>64</v>
      </c>
      <c r="M488" s="283" t="s">
        <v>38</v>
      </c>
      <c r="N488" s="61" t="s">
        <v>44</v>
      </c>
      <c r="O488" s="61" t="s">
        <v>965</v>
      </c>
      <c r="P488" s="207" t="s">
        <v>1067</v>
      </c>
      <c r="Q488" s="61"/>
      <c r="R488" s="61"/>
      <c r="S488" s="61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</row>
    <row r="489" ht="22.5" customHeight="1">
      <c r="A489" s="157" t="s">
        <v>148</v>
      </c>
      <c r="B489" s="158" t="s">
        <v>48</v>
      </c>
      <c r="C489" s="158">
        <v>3.109645979E9</v>
      </c>
      <c r="D489" s="158" t="s">
        <v>421</v>
      </c>
      <c r="E489" s="159">
        <v>45849.0</v>
      </c>
      <c r="F489" s="288" t="s">
        <v>51</v>
      </c>
      <c r="G489" s="158" t="s">
        <v>52</v>
      </c>
      <c r="H489" s="48">
        <f t="shared" si="96"/>
        <v>2218.59</v>
      </c>
      <c r="I489" s="42">
        <f t="shared" si="97"/>
        <v>520.41</v>
      </c>
      <c r="J489" s="42">
        <v>0.0</v>
      </c>
      <c r="K489" s="48">
        <v>2739.0</v>
      </c>
      <c r="L489" s="207" t="s">
        <v>64</v>
      </c>
      <c r="M489" s="283" t="s">
        <v>37</v>
      </c>
      <c r="N489" s="61" t="s">
        <v>44</v>
      </c>
      <c r="O489" s="61" t="s">
        <v>977</v>
      </c>
      <c r="P489" s="207" t="s">
        <v>1068</v>
      </c>
      <c r="Q489" s="61"/>
      <c r="R489" s="61"/>
      <c r="S489" s="61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</row>
    <row r="490" ht="22.5" customHeight="1">
      <c r="A490" s="157" t="s">
        <v>148</v>
      </c>
      <c r="B490" s="158" t="s">
        <v>48</v>
      </c>
      <c r="C490" s="158">
        <v>18810.0</v>
      </c>
      <c r="D490" s="158" t="s">
        <v>1069</v>
      </c>
      <c r="E490" s="159">
        <v>45849.0</v>
      </c>
      <c r="F490" s="288" t="s">
        <v>51</v>
      </c>
      <c r="G490" s="158" t="s">
        <v>52</v>
      </c>
      <c r="H490" s="48">
        <f t="shared" si="96"/>
        <v>14256</v>
      </c>
      <c r="I490" s="42">
        <f t="shared" si="97"/>
        <v>3344</v>
      </c>
      <c r="J490" s="42">
        <v>0.0</v>
      </c>
      <c r="K490" s="48">
        <v>17600.0</v>
      </c>
      <c r="L490" s="207" t="s">
        <v>64</v>
      </c>
      <c r="M490" s="283" t="s">
        <v>37</v>
      </c>
      <c r="N490" s="61" t="s">
        <v>44</v>
      </c>
      <c r="O490" s="61" t="s">
        <v>953</v>
      </c>
      <c r="P490" s="207" t="s">
        <v>1070</v>
      </c>
      <c r="Q490" s="61"/>
      <c r="R490" s="61"/>
      <c r="S490" s="61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</row>
    <row r="491" ht="22.5" customHeight="1">
      <c r="A491" s="157" t="s">
        <v>148</v>
      </c>
      <c r="B491" s="158" t="s">
        <v>48</v>
      </c>
      <c r="C491" s="158">
        <v>5.73820999E8</v>
      </c>
      <c r="D491" s="158" t="s">
        <v>1064</v>
      </c>
      <c r="E491" s="159">
        <v>45849.0</v>
      </c>
      <c r="F491" s="288" t="s">
        <v>51</v>
      </c>
      <c r="G491" s="158" t="s">
        <v>52</v>
      </c>
      <c r="H491" s="48">
        <f t="shared" si="96"/>
        <v>7314.3</v>
      </c>
      <c r="I491" s="42">
        <f t="shared" si="97"/>
        <v>1715.7</v>
      </c>
      <c r="J491" s="42">
        <v>0.0</v>
      </c>
      <c r="K491" s="48">
        <v>9030.0</v>
      </c>
      <c r="L491" s="207" t="s">
        <v>64</v>
      </c>
      <c r="M491" s="283" t="s">
        <v>37</v>
      </c>
      <c r="N491" s="61" t="s">
        <v>44</v>
      </c>
      <c r="O491" s="61" t="s">
        <v>977</v>
      </c>
      <c r="P491" s="207" t="s">
        <v>1071</v>
      </c>
      <c r="Q491" s="61"/>
      <c r="R491" s="61"/>
      <c r="S491" s="61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</row>
    <row r="492" ht="22.5" customHeight="1">
      <c r="A492" s="157" t="s">
        <v>177</v>
      </c>
      <c r="B492" s="158" t="s">
        <v>48</v>
      </c>
      <c r="C492" s="158">
        <v>1.0726855E7</v>
      </c>
      <c r="D492" s="158" t="s">
        <v>1072</v>
      </c>
      <c r="E492" s="159">
        <v>45848.0</v>
      </c>
      <c r="F492" s="288" t="s">
        <v>51</v>
      </c>
      <c r="G492" s="158" t="s">
        <v>52</v>
      </c>
      <c r="H492" s="48">
        <v>8689.0</v>
      </c>
      <c r="I492" s="48">
        <v>1651.0</v>
      </c>
      <c r="J492" s="42">
        <v>0.0</v>
      </c>
      <c r="K492" s="48">
        <v>10340.0</v>
      </c>
      <c r="L492" s="207" t="s">
        <v>64</v>
      </c>
      <c r="M492" s="283" t="s">
        <v>37</v>
      </c>
      <c r="N492" s="61" t="s">
        <v>44</v>
      </c>
      <c r="O492" s="61" t="s">
        <v>1073</v>
      </c>
      <c r="P492" s="207" t="s">
        <v>1074</v>
      </c>
      <c r="Q492" s="61"/>
      <c r="R492" s="61"/>
      <c r="S492" s="61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</row>
    <row r="493" ht="22.5" customHeight="1">
      <c r="A493" s="157" t="s">
        <v>69</v>
      </c>
      <c r="B493" s="158" t="s">
        <v>48</v>
      </c>
      <c r="C493" s="158" t="s">
        <v>1075</v>
      </c>
      <c r="D493" s="158" t="s">
        <v>1076</v>
      </c>
      <c r="E493" s="159">
        <v>45847.0</v>
      </c>
      <c r="F493" s="288" t="s">
        <v>51</v>
      </c>
      <c r="G493" s="158" t="s">
        <v>52</v>
      </c>
      <c r="H493" s="48">
        <v>0.0</v>
      </c>
      <c r="I493" s="48">
        <v>0.0</v>
      </c>
      <c r="J493" s="42">
        <v>0.0</v>
      </c>
      <c r="K493" s="48">
        <v>19587.0</v>
      </c>
      <c r="L493" s="207" t="s">
        <v>64</v>
      </c>
      <c r="M493" s="283" t="s">
        <v>37</v>
      </c>
      <c r="N493" s="61" t="s">
        <v>44</v>
      </c>
      <c r="O493" s="61" t="s">
        <v>1077</v>
      </c>
      <c r="P493" s="207" t="s">
        <v>1078</v>
      </c>
      <c r="Q493" s="61"/>
      <c r="R493" s="61"/>
      <c r="S493" s="61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</row>
    <row r="494" ht="22.5" customHeight="1">
      <c r="A494" s="157" t="s">
        <v>69</v>
      </c>
      <c r="B494" s="158" t="s">
        <v>48</v>
      </c>
      <c r="C494" s="158"/>
      <c r="D494" s="158" t="s">
        <v>947</v>
      </c>
      <c r="E494" s="159">
        <v>45845.0</v>
      </c>
      <c r="F494" s="288" t="s">
        <v>601</v>
      </c>
      <c r="G494" s="158" t="s">
        <v>52</v>
      </c>
      <c r="H494" s="48">
        <v>0.0</v>
      </c>
      <c r="I494" s="48">
        <v>0.0</v>
      </c>
      <c r="J494" s="42">
        <v>0.0</v>
      </c>
      <c r="K494" s="48">
        <v>1000000.0</v>
      </c>
      <c r="L494" s="61" t="s">
        <v>142</v>
      </c>
      <c r="M494" s="31" t="s">
        <v>36</v>
      </c>
      <c r="N494" s="61" t="s">
        <v>47</v>
      </c>
      <c r="O494" s="61" t="s">
        <v>1013</v>
      </c>
      <c r="P494" s="61"/>
      <c r="Q494" s="61"/>
      <c r="R494" s="61"/>
      <c r="S494" s="61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</row>
    <row r="495" ht="22.5" customHeight="1">
      <c r="A495" s="157" t="s">
        <v>69</v>
      </c>
      <c r="B495" s="158" t="s">
        <v>48</v>
      </c>
      <c r="C495" s="158"/>
      <c r="D495" s="158" t="s">
        <v>1079</v>
      </c>
      <c r="E495" s="159">
        <v>45845.0</v>
      </c>
      <c r="F495" s="288" t="s">
        <v>601</v>
      </c>
      <c r="G495" s="158" t="s">
        <v>52</v>
      </c>
      <c r="H495" s="48">
        <v>0.0</v>
      </c>
      <c r="I495" s="48">
        <v>0.0</v>
      </c>
      <c r="J495" s="42">
        <v>0.0</v>
      </c>
      <c r="K495" s="48">
        <v>389832.0</v>
      </c>
      <c r="L495" s="61" t="s">
        <v>142</v>
      </c>
      <c r="M495" s="31" t="s">
        <v>36</v>
      </c>
      <c r="N495" s="61" t="s">
        <v>47</v>
      </c>
      <c r="O495" s="61" t="s">
        <v>1080</v>
      </c>
      <c r="P495" s="61"/>
      <c r="Q495" s="61"/>
      <c r="R495" s="61"/>
      <c r="S495" s="61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</row>
    <row r="496" ht="22.5" customHeight="1">
      <c r="A496" s="157" t="s">
        <v>148</v>
      </c>
      <c r="B496" s="158" t="s">
        <v>48</v>
      </c>
      <c r="C496" s="158">
        <v>313832.0</v>
      </c>
      <c r="D496" s="158" t="s">
        <v>1081</v>
      </c>
      <c r="E496" s="159">
        <v>45839.0</v>
      </c>
      <c r="F496" s="288" t="s">
        <v>601</v>
      </c>
      <c r="G496" s="158" t="s">
        <v>52</v>
      </c>
      <c r="H496" s="48">
        <f>K496-I496</f>
        <v>32344.92</v>
      </c>
      <c r="I496" s="42">
        <f>K496*19%</f>
        <v>7587.08</v>
      </c>
      <c r="J496" s="42">
        <v>0.0</v>
      </c>
      <c r="K496" s="48">
        <v>39932.0</v>
      </c>
      <c r="L496" s="207" t="s">
        <v>64</v>
      </c>
      <c r="M496" s="283" t="s">
        <v>38</v>
      </c>
      <c r="N496" s="61" t="s">
        <v>44</v>
      </c>
      <c r="O496" s="61" t="s">
        <v>975</v>
      </c>
      <c r="P496" s="207" t="s">
        <v>1082</v>
      </c>
      <c r="Q496" s="61"/>
      <c r="R496" s="61"/>
      <c r="S496" s="61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</row>
    <row r="497" ht="22.5" customHeight="1">
      <c r="A497" s="123" t="s">
        <v>40</v>
      </c>
      <c r="B497" s="158" t="s">
        <v>48</v>
      </c>
      <c r="C497" s="158">
        <v>78837.0</v>
      </c>
      <c r="D497" s="158" t="s">
        <v>1083</v>
      </c>
      <c r="E497" s="159">
        <v>45838.0</v>
      </c>
      <c r="F497" s="288" t="s">
        <v>601</v>
      </c>
      <c r="G497" s="158" t="s">
        <v>52</v>
      </c>
      <c r="H497" s="48">
        <v>0.0</v>
      </c>
      <c r="I497" s="48">
        <v>0.0</v>
      </c>
      <c r="J497" s="42">
        <v>0.0</v>
      </c>
      <c r="K497" s="48">
        <v>6000.0</v>
      </c>
      <c r="L497" s="61" t="s">
        <v>77</v>
      </c>
      <c r="M497" s="31" t="s">
        <v>37</v>
      </c>
      <c r="N497" s="61" t="s">
        <v>44</v>
      </c>
      <c r="O497" s="61" t="s">
        <v>1084</v>
      </c>
      <c r="P497" s="207" t="s">
        <v>1085</v>
      </c>
      <c r="Q497" s="61"/>
      <c r="R497" s="61"/>
      <c r="S497" s="61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</row>
    <row r="498" ht="22.5" customHeight="1">
      <c r="A498" s="157" t="s">
        <v>148</v>
      </c>
      <c r="B498" s="158" t="s">
        <v>48</v>
      </c>
      <c r="C498" s="158">
        <v>5762773.0</v>
      </c>
      <c r="D498" s="158" t="s">
        <v>1053</v>
      </c>
      <c r="E498" s="159">
        <v>45836.0</v>
      </c>
      <c r="F498" s="288" t="s">
        <v>151</v>
      </c>
      <c r="G498" s="158" t="s">
        <v>151</v>
      </c>
      <c r="H498" s="48">
        <f t="shared" ref="H498:H512" si="98">K498-I498</f>
        <v>3280.5</v>
      </c>
      <c r="I498" s="42">
        <f t="shared" ref="I498:I512" si="99">K498*19%</f>
        <v>769.5</v>
      </c>
      <c r="J498" s="42">
        <v>0.0</v>
      </c>
      <c r="K498" s="48">
        <v>4050.0</v>
      </c>
      <c r="L498" s="207" t="s">
        <v>64</v>
      </c>
      <c r="M498" s="283" t="s">
        <v>38</v>
      </c>
      <c r="N498" s="61" t="s">
        <v>44</v>
      </c>
      <c r="O498" s="61" t="s">
        <v>965</v>
      </c>
      <c r="P498" s="207" t="s">
        <v>1086</v>
      </c>
      <c r="Q498" s="61"/>
      <c r="R498" s="61"/>
      <c r="S498" s="61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</row>
    <row r="499" ht="22.5" customHeight="1">
      <c r="A499" s="157" t="s">
        <v>148</v>
      </c>
      <c r="B499" s="158" t="s">
        <v>48</v>
      </c>
      <c r="C499" s="158">
        <v>4284991.0</v>
      </c>
      <c r="D499" s="158" t="s">
        <v>1058</v>
      </c>
      <c r="E499" s="159">
        <v>45836.0</v>
      </c>
      <c r="F499" s="288" t="s">
        <v>601</v>
      </c>
      <c r="G499" s="158" t="s">
        <v>52</v>
      </c>
      <c r="H499" s="48">
        <f t="shared" si="98"/>
        <v>22123.53</v>
      </c>
      <c r="I499" s="42">
        <f t="shared" si="99"/>
        <v>5189.47</v>
      </c>
      <c r="J499" s="42">
        <v>0.0</v>
      </c>
      <c r="K499" s="48">
        <v>27313.0</v>
      </c>
      <c r="L499" s="207" t="s">
        <v>64</v>
      </c>
      <c r="M499" s="283" t="s">
        <v>38</v>
      </c>
      <c r="N499" s="61" t="s">
        <v>44</v>
      </c>
      <c r="O499" s="61" t="s">
        <v>975</v>
      </c>
      <c r="P499" s="207" t="s">
        <v>1087</v>
      </c>
      <c r="Q499" s="61"/>
      <c r="R499" s="61"/>
      <c r="S499" s="61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</row>
    <row r="500" ht="22.5" customHeight="1">
      <c r="A500" s="157" t="s">
        <v>148</v>
      </c>
      <c r="B500" s="158" t="s">
        <v>48</v>
      </c>
      <c r="C500" s="158">
        <v>6072261.0</v>
      </c>
      <c r="D500" s="158" t="s">
        <v>1053</v>
      </c>
      <c r="E500" s="159">
        <v>45836.0</v>
      </c>
      <c r="F500" s="288" t="s">
        <v>151</v>
      </c>
      <c r="G500" s="158" t="s">
        <v>151</v>
      </c>
      <c r="H500" s="48">
        <f t="shared" si="98"/>
        <v>3280.5</v>
      </c>
      <c r="I500" s="42">
        <f t="shared" si="99"/>
        <v>769.5</v>
      </c>
      <c r="J500" s="42">
        <v>0.0</v>
      </c>
      <c r="K500" s="48">
        <v>4050.0</v>
      </c>
      <c r="L500" s="207" t="s">
        <v>64</v>
      </c>
      <c r="M500" s="283" t="s">
        <v>38</v>
      </c>
      <c r="N500" s="61" t="s">
        <v>44</v>
      </c>
      <c r="O500" s="61" t="s">
        <v>965</v>
      </c>
      <c r="P500" s="61" t="s">
        <v>1000</v>
      </c>
      <c r="Q500" s="61"/>
      <c r="R500" s="61"/>
      <c r="S500" s="61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</row>
    <row r="501" ht="22.5" customHeight="1">
      <c r="A501" s="157" t="s">
        <v>148</v>
      </c>
      <c r="B501" s="158" t="s">
        <v>48</v>
      </c>
      <c r="C501" s="158">
        <v>12319.0</v>
      </c>
      <c r="D501" s="158" t="s">
        <v>1051</v>
      </c>
      <c r="E501" s="159">
        <v>45836.0</v>
      </c>
      <c r="F501" s="288" t="s">
        <v>151</v>
      </c>
      <c r="G501" s="158" t="s">
        <v>151</v>
      </c>
      <c r="H501" s="48">
        <f t="shared" si="98"/>
        <v>2268</v>
      </c>
      <c r="I501" s="42">
        <f t="shared" si="99"/>
        <v>532</v>
      </c>
      <c r="J501" s="42">
        <v>0.0</v>
      </c>
      <c r="K501" s="48">
        <v>2800.0</v>
      </c>
      <c r="L501" s="207" t="s">
        <v>64</v>
      </c>
      <c r="M501" s="283" t="s">
        <v>38</v>
      </c>
      <c r="N501" s="61" t="s">
        <v>44</v>
      </c>
      <c r="O501" s="61" t="s">
        <v>965</v>
      </c>
      <c r="P501" s="207" t="s">
        <v>1088</v>
      </c>
      <c r="Q501" s="61"/>
      <c r="R501" s="61"/>
      <c r="S501" s="61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</row>
    <row r="502" ht="22.5" customHeight="1">
      <c r="A502" s="157" t="s">
        <v>148</v>
      </c>
      <c r="B502" s="158" t="s">
        <v>48</v>
      </c>
      <c r="C502" s="158">
        <v>1446751.0</v>
      </c>
      <c r="D502" s="158" t="s">
        <v>1049</v>
      </c>
      <c r="E502" s="159">
        <v>45836.0</v>
      </c>
      <c r="F502" s="288" t="s">
        <v>151</v>
      </c>
      <c r="G502" s="158" t="s">
        <v>151</v>
      </c>
      <c r="H502" s="48">
        <f t="shared" si="98"/>
        <v>4050</v>
      </c>
      <c r="I502" s="42">
        <f t="shared" si="99"/>
        <v>950</v>
      </c>
      <c r="J502" s="42">
        <v>0.0</v>
      </c>
      <c r="K502" s="48">
        <v>5000.0</v>
      </c>
      <c r="L502" s="207" t="s">
        <v>64</v>
      </c>
      <c r="M502" s="283" t="s">
        <v>38</v>
      </c>
      <c r="N502" s="61" t="s">
        <v>44</v>
      </c>
      <c r="O502" s="61" t="s">
        <v>965</v>
      </c>
      <c r="P502" s="207" t="s">
        <v>1089</v>
      </c>
      <c r="Q502" s="61"/>
      <c r="R502" s="61"/>
      <c r="S502" s="61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</row>
    <row r="503" ht="22.5" customHeight="1">
      <c r="A503" s="157" t="s">
        <v>148</v>
      </c>
      <c r="B503" s="158" t="s">
        <v>48</v>
      </c>
      <c r="C503" s="158">
        <v>12118.0</v>
      </c>
      <c r="D503" s="158" t="s">
        <v>1051</v>
      </c>
      <c r="E503" s="159">
        <v>45835.0</v>
      </c>
      <c r="F503" s="288" t="s">
        <v>151</v>
      </c>
      <c r="G503" s="158" t="s">
        <v>151</v>
      </c>
      <c r="H503" s="48">
        <f t="shared" si="98"/>
        <v>2268</v>
      </c>
      <c r="I503" s="42">
        <f t="shared" si="99"/>
        <v>532</v>
      </c>
      <c r="J503" s="42">
        <v>0.0</v>
      </c>
      <c r="K503" s="48">
        <v>2800.0</v>
      </c>
      <c r="L503" s="207" t="s">
        <v>64</v>
      </c>
      <c r="M503" s="283" t="s">
        <v>38</v>
      </c>
      <c r="N503" s="61" t="s">
        <v>44</v>
      </c>
      <c r="O503" s="61" t="s">
        <v>965</v>
      </c>
      <c r="P503" s="207" t="s">
        <v>1090</v>
      </c>
      <c r="Q503" s="61"/>
      <c r="R503" s="61"/>
      <c r="S503" s="61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</row>
    <row r="504" ht="22.5" customHeight="1">
      <c r="A504" s="157" t="s">
        <v>148</v>
      </c>
      <c r="B504" s="158" t="s">
        <v>48</v>
      </c>
      <c r="C504" s="158">
        <v>723161.0</v>
      </c>
      <c r="D504" s="158" t="s">
        <v>1049</v>
      </c>
      <c r="E504" s="159">
        <v>45835.0</v>
      </c>
      <c r="F504" s="288" t="s">
        <v>151</v>
      </c>
      <c r="G504" s="158" t="s">
        <v>151</v>
      </c>
      <c r="H504" s="48">
        <f t="shared" si="98"/>
        <v>4050</v>
      </c>
      <c r="I504" s="42">
        <f t="shared" si="99"/>
        <v>950</v>
      </c>
      <c r="J504" s="42">
        <v>0.0</v>
      </c>
      <c r="K504" s="48">
        <v>5000.0</v>
      </c>
      <c r="L504" s="207" t="s">
        <v>64</v>
      </c>
      <c r="M504" s="283" t="s">
        <v>38</v>
      </c>
      <c r="N504" s="61" t="s">
        <v>44</v>
      </c>
      <c r="O504" s="61" t="s">
        <v>965</v>
      </c>
      <c r="P504" s="207" t="s">
        <v>1091</v>
      </c>
      <c r="Q504" s="61"/>
      <c r="R504" s="61"/>
      <c r="S504" s="61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</row>
    <row r="505" ht="22.5" customHeight="1">
      <c r="A505" s="157" t="s">
        <v>148</v>
      </c>
      <c r="B505" s="158" t="s">
        <v>48</v>
      </c>
      <c r="C505" s="158">
        <v>5.70355793E8</v>
      </c>
      <c r="D505" s="158" t="s">
        <v>1064</v>
      </c>
      <c r="E505" s="159">
        <v>45835.0</v>
      </c>
      <c r="F505" s="288" t="s">
        <v>601</v>
      </c>
      <c r="G505" s="158" t="s">
        <v>52</v>
      </c>
      <c r="H505" s="48">
        <f t="shared" si="98"/>
        <v>5605.2</v>
      </c>
      <c r="I505" s="42">
        <f t="shared" si="99"/>
        <v>1314.8</v>
      </c>
      <c r="J505" s="42">
        <v>0.0</v>
      </c>
      <c r="K505" s="48">
        <v>6920.0</v>
      </c>
      <c r="L505" s="207" t="s">
        <v>64</v>
      </c>
      <c r="M505" s="283" t="s">
        <v>37</v>
      </c>
      <c r="N505" s="61" t="s">
        <v>44</v>
      </c>
      <c r="O505" s="61" t="s">
        <v>1092</v>
      </c>
      <c r="P505" s="207" t="s">
        <v>1093</v>
      </c>
      <c r="Q505" s="61"/>
      <c r="R505" s="61"/>
      <c r="S505" s="61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</row>
    <row r="506" ht="22.5" customHeight="1">
      <c r="A506" s="157" t="s">
        <v>148</v>
      </c>
      <c r="B506" s="158" t="s">
        <v>48</v>
      </c>
      <c r="C506" s="158">
        <v>5773276.0</v>
      </c>
      <c r="D506" s="158" t="s">
        <v>1053</v>
      </c>
      <c r="E506" s="159">
        <v>45835.0</v>
      </c>
      <c r="F506" s="288" t="s">
        <v>151</v>
      </c>
      <c r="G506" s="158" t="s">
        <v>151</v>
      </c>
      <c r="H506" s="48">
        <f t="shared" si="98"/>
        <v>3280.5</v>
      </c>
      <c r="I506" s="42">
        <f t="shared" si="99"/>
        <v>769.5</v>
      </c>
      <c r="J506" s="42">
        <v>0.0</v>
      </c>
      <c r="K506" s="48">
        <v>4050.0</v>
      </c>
      <c r="L506" s="207" t="s">
        <v>64</v>
      </c>
      <c r="M506" s="283" t="s">
        <v>38</v>
      </c>
      <c r="N506" s="61" t="s">
        <v>44</v>
      </c>
      <c r="O506" s="61" t="s">
        <v>965</v>
      </c>
      <c r="P506" s="207" t="s">
        <v>1094</v>
      </c>
      <c r="Q506" s="61"/>
      <c r="R506" s="61"/>
      <c r="S506" s="61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</row>
    <row r="507" ht="22.5" customHeight="1">
      <c r="A507" s="157" t="s">
        <v>148</v>
      </c>
      <c r="B507" s="158" t="s">
        <v>48</v>
      </c>
      <c r="C507" s="158">
        <v>5.67249822E8</v>
      </c>
      <c r="D507" s="158" t="s">
        <v>1064</v>
      </c>
      <c r="E507" s="159">
        <v>45835.0</v>
      </c>
      <c r="F507" s="288" t="s">
        <v>601</v>
      </c>
      <c r="G507" s="158" t="s">
        <v>52</v>
      </c>
      <c r="H507" s="48">
        <f t="shared" si="98"/>
        <v>3912.3</v>
      </c>
      <c r="I507" s="42">
        <f t="shared" si="99"/>
        <v>917.7</v>
      </c>
      <c r="J507" s="42">
        <v>0.0</v>
      </c>
      <c r="K507" s="48">
        <v>4830.0</v>
      </c>
      <c r="L507" s="207" t="s">
        <v>64</v>
      </c>
      <c r="M507" s="283" t="s">
        <v>37</v>
      </c>
      <c r="N507" s="61" t="s">
        <v>44</v>
      </c>
      <c r="O507" s="61" t="s">
        <v>1032</v>
      </c>
      <c r="P507" s="207" t="s">
        <v>1095</v>
      </c>
      <c r="Q507" s="61"/>
      <c r="R507" s="61"/>
      <c r="S507" s="61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</row>
    <row r="508" ht="22.5" customHeight="1">
      <c r="A508" s="157" t="s">
        <v>148</v>
      </c>
      <c r="B508" s="158" t="s">
        <v>48</v>
      </c>
      <c r="C508" s="158">
        <v>2452246.0</v>
      </c>
      <c r="D508" s="158" t="s">
        <v>1064</v>
      </c>
      <c r="E508" s="159">
        <v>45835.0</v>
      </c>
      <c r="F508" s="288" t="s">
        <v>601</v>
      </c>
      <c r="G508" s="158" t="s">
        <v>52</v>
      </c>
      <c r="H508" s="48">
        <f t="shared" si="98"/>
        <v>30758.94</v>
      </c>
      <c r="I508" s="42">
        <f t="shared" si="99"/>
        <v>7215.06</v>
      </c>
      <c r="J508" s="42">
        <v>0.0</v>
      </c>
      <c r="K508" s="48">
        <v>37974.0</v>
      </c>
      <c r="L508" s="207" t="s">
        <v>64</v>
      </c>
      <c r="M508" s="283" t="s">
        <v>38</v>
      </c>
      <c r="N508" s="61" t="s">
        <v>44</v>
      </c>
      <c r="O508" s="61" t="s">
        <v>975</v>
      </c>
      <c r="P508" s="207" t="s">
        <v>1096</v>
      </c>
      <c r="Q508" s="61"/>
      <c r="R508" s="61"/>
      <c r="S508" s="61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</row>
    <row r="509" ht="22.5" customHeight="1">
      <c r="A509" s="157" t="s">
        <v>148</v>
      </c>
      <c r="B509" s="158" t="s">
        <v>48</v>
      </c>
      <c r="C509" s="158">
        <v>1.47343943E8</v>
      </c>
      <c r="D509" s="158" t="s">
        <v>982</v>
      </c>
      <c r="E509" s="159">
        <v>45835.0</v>
      </c>
      <c r="F509" s="288" t="s">
        <v>601</v>
      </c>
      <c r="G509" s="158" t="s">
        <v>52</v>
      </c>
      <c r="H509" s="48">
        <f t="shared" si="98"/>
        <v>1660.5</v>
      </c>
      <c r="I509" s="42">
        <f t="shared" si="99"/>
        <v>389.5</v>
      </c>
      <c r="J509" s="42">
        <v>0.0</v>
      </c>
      <c r="K509" s="48">
        <v>2050.0</v>
      </c>
      <c r="L509" s="207" t="s">
        <v>64</v>
      </c>
      <c r="M509" s="283" t="s">
        <v>38</v>
      </c>
      <c r="N509" s="61" t="s">
        <v>44</v>
      </c>
      <c r="O509" s="61" t="s">
        <v>972</v>
      </c>
      <c r="P509" s="207" t="s">
        <v>1097</v>
      </c>
      <c r="Q509" s="61"/>
      <c r="R509" s="61"/>
      <c r="S509" s="61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</row>
    <row r="510" ht="22.5" customHeight="1">
      <c r="A510" s="157" t="s">
        <v>148</v>
      </c>
      <c r="B510" s="158" t="s">
        <v>48</v>
      </c>
      <c r="C510" s="158">
        <v>5841921.0</v>
      </c>
      <c r="D510" s="158" t="s">
        <v>1053</v>
      </c>
      <c r="E510" s="159">
        <v>45835.0</v>
      </c>
      <c r="F510" s="288" t="s">
        <v>151</v>
      </c>
      <c r="G510" s="158" t="s">
        <v>151</v>
      </c>
      <c r="H510" s="48">
        <f t="shared" si="98"/>
        <v>3280.5</v>
      </c>
      <c r="I510" s="42">
        <f t="shared" si="99"/>
        <v>769.5</v>
      </c>
      <c r="J510" s="42">
        <v>0.0</v>
      </c>
      <c r="K510" s="48">
        <v>4050.0</v>
      </c>
      <c r="L510" s="207" t="s">
        <v>64</v>
      </c>
      <c r="M510" s="283" t="s">
        <v>38</v>
      </c>
      <c r="N510" s="61" t="s">
        <v>44</v>
      </c>
      <c r="O510" s="61" t="s">
        <v>965</v>
      </c>
      <c r="P510" s="207" t="s">
        <v>1098</v>
      </c>
      <c r="Q510" s="61"/>
      <c r="R510" s="61"/>
      <c r="S510" s="61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</row>
    <row r="511" ht="22.5" customHeight="1">
      <c r="A511" s="157" t="s">
        <v>148</v>
      </c>
      <c r="B511" s="158" t="s">
        <v>48</v>
      </c>
      <c r="C511" s="158">
        <v>7.56698382E8</v>
      </c>
      <c r="D511" s="158" t="s">
        <v>1072</v>
      </c>
      <c r="E511" s="159">
        <v>45835.0</v>
      </c>
      <c r="F511" s="288" t="s">
        <v>601</v>
      </c>
      <c r="G511" s="158" t="s">
        <v>52</v>
      </c>
      <c r="H511" s="48">
        <f t="shared" si="98"/>
        <v>9260.73</v>
      </c>
      <c r="I511" s="42">
        <f t="shared" si="99"/>
        <v>2172.27</v>
      </c>
      <c r="J511" s="42">
        <v>0.0</v>
      </c>
      <c r="K511" s="48">
        <v>11433.0</v>
      </c>
      <c r="L511" s="207" t="s">
        <v>64</v>
      </c>
      <c r="M511" s="283" t="s">
        <v>37</v>
      </c>
      <c r="N511" s="61" t="s">
        <v>44</v>
      </c>
      <c r="O511" s="61" t="s">
        <v>977</v>
      </c>
      <c r="P511" s="207" t="s">
        <v>1099</v>
      </c>
      <c r="Q511" s="61"/>
      <c r="R511" s="61"/>
      <c r="S511" s="61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</row>
    <row r="512" ht="22.5" customHeight="1">
      <c r="A512" s="157" t="s">
        <v>148</v>
      </c>
      <c r="B512" s="158" t="s">
        <v>48</v>
      </c>
      <c r="C512" s="158">
        <v>6986967.0</v>
      </c>
      <c r="D512" s="158" t="s">
        <v>980</v>
      </c>
      <c r="E512" s="159">
        <v>45835.0</v>
      </c>
      <c r="F512" s="288" t="s">
        <v>601</v>
      </c>
      <c r="G512" s="158" t="s">
        <v>52</v>
      </c>
      <c r="H512" s="48">
        <f t="shared" si="98"/>
        <v>14345.1</v>
      </c>
      <c r="I512" s="42">
        <f t="shared" si="99"/>
        <v>3364.9</v>
      </c>
      <c r="J512" s="42">
        <v>0.0</v>
      </c>
      <c r="K512" s="48">
        <v>17710.0</v>
      </c>
      <c r="L512" s="207" t="s">
        <v>64</v>
      </c>
      <c r="M512" s="283" t="s">
        <v>37</v>
      </c>
      <c r="N512" s="61" t="s">
        <v>44</v>
      </c>
      <c r="O512" s="61" t="s">
        <v>953</v>
      </c>
      <c r="P512" s="207" t="s">
        <v>1100</v>
      </c>
      <c r="Q512" s="61"/>
      <c r="R512" s="61"/>
      <c r="S512" s="61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</row>
    <row r="513" ht="22.5" customHeight="1">
      <c r="A513" s="157" t="s">
        <v>177</v>
      </c>
      <c r="B513" s="158" t="s">
        <v>48</v>
      </c>
      <c r="C513" s="158">
        <v>7.8205453E7</v>
      </c>
      <c r="D513" s="158" t="s">
        <v>167</v>
      </c>
      <c r="E513" s="159">
        <v>45834.0</v>
      </c>
      <c r="F513" s="288" t="s">
        <v>601</v>
      </c>
      <c r="G513" s="158" t="s">
        <v>52</v>
      </c>
      <c r="H513" s="48">
        <v>103515.0</v>
      </c>
      <c r="I513" s="48">
        <v>19668.0</v>
      </c>
      <c r="J513" s="42">
        <v>0.0</v>
      </c>
      <c r="K513" s="48">
        <f>123880+20000</f>
        <v>143880</v>
      </c>
      <c r="L513" s="207" t="s">
        <v>64</v>
      </c>
      <c r="M513" s="283" t="s">
        <v>37</v>
      </c>
      <c r="N513" s="61" t="s">
        <v>44</v>
      </c>
      <c r="O513" s="61" t="s">
        <v>1073</v>
      </c>
      <c r="P513" s="207" t="s">
        <v>1101</v>
      </c>
      <c r="Q513" s="61"/>
      <c r="R513" s="61"/>
      <c r="S513" s="61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</row>
    <row r="514" ht="22.5" customHeight="1">
      <c r="A514" s="157" t="s">
        <v>69</v>
      </c>
      <c r="B514" s="158" t="s">
        <v>48</v>
      </c>
      <c r="C514" s="158" t="s">
        <v>1102</v>
      </c>
      <c r="D514" s="158" t="s">
        <v>1076</v>
      </c>
      <c r="E514" s="159">
        <v>45832.0</v>
      </c>
      <c r="F514" s="288" t="s">
        <v>601</v>
      </c>
      <c r="G514" s="158" t="s">
        <v>52</v>
      </c>
      <c r="H514" s="48">
        <v>0.0</v>
      </c>
      <c r="I514" s="48">
        <v>0.0</v>
      </c>
      <c r="J514" s="42">
        <v>0.0</v>
      </c>
      <c r="K514" s="48">
        <v>19272.0</v>
      </c>
      <c r="L514" s="207" t="s">
        <v>64</v>
      </c>
      <c r="M514" s="283" t="s">
        <v>37</v>
      </c>
      <c r="N514" s="61" t="s">
        <v>44</v>
      </c>
      <c r="O514" s="61" t="s">
        <v>1077</v>
      </c>
      <c r="P514" s="207" t="s">
        <v>1103</v>
      </c>
      <c r="Q514" s="61"/>
      <c r="R514" s="61"/>
      <c r="S514" s="61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</row>
    <row r="515" ht="22.5" customHeight="1">
      <c r="A515" s="157" t="s">
        <v>177</v>
      </c>
      <c r="B515" s="158" t="s">
        <v>48</v>
      </c>
      <c r="C515" s="158">
        <v>152.0</v>
      </c>
      <c r="D515" s="158" t="s">
        <v>1104</v>
      </c>
      <c r="E515" s="159">
        <v>45832.0</v>
      </c>
      <c r="F515" s="288" t="s">
        <v>51</v>
      </c>
      <c r="G515" s="158" t="s">
        <v>52</v>
      </c>
      <c r="H515" s="48">
        <v>55000.0</v>
      </c>
      <c r="I515" s="48">
        <v>10450.0</v>
      </c>
      <c r="J515" s="42">
        <v>0.0</v>
      </c>
      <c r="K515" s="48">
        <v>65450.0</v>
      </c>
      <c r="L515" s="61" t="s">
        <v>77</v>
      </c>
      <c r="M515" s="31" t="s">
        <v>37</v>
      </c>
      <c r="N515" s="61" t="s">
        <v>44</v>
      </c>
      <c r="O515" s="61" t="s">
        <v>1105</v>
      </c>
      <c r="P515" s="207" t="s">
        <v>1106</v>
      </c>
      <c r="Q515" s="61"/>
      <c r="R515" s="61"/>
      <c r="S515" s="61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</row>
    <row r="516" ht="22.5" customHeight="1">
      <c r="A516" s="157" t="s">
        <v>177</v>
      </c>
      <c r="B516" s="158" t="s">
        <v>48</v>
      </c>
      <c r="C516" s="158">
        <v>151.0</v>
      </c>
      <c r="D516" s="158" t="s">
        <v>1104</v>
      </c>
      <c r="E516" s="159">
        <v>45832.0</v>
      </c>
      <c r="F516" s="288" t="s">
        <v>51</v>
      </c>
      <c r="G516" s="158" t="s">
        <v>52</v>
      </c>
      <c r="H516" s="48">
        <v>80000.0</v>
      </c>
      <c r="I516" s="48">
        <v>15200.0</v>
      </c>
      <c r="J516" s="42">
        <v>0.0</v>
      </c>
      <c r="K516" s="48">
        <v>95200.0</v>
      </c>
      <c r="L516" s="61" t="s">
        <v>77</v>
      </c>
      <c r="M516" s="31" t="s">
        <v>37</v>
      </c>
      <c r="N516" s="61" t="s">
        <v>46</v>
      </c>
      <c r="O516" s="61" t="s">
        <v>1107</v>
      </c>
      <c r="P516" s="207" t="s">
        <v>1108</v>
      </c>
      <c r="Q516" s="61"/>
      <c r="R516" s="61"/>
      <c r="S516" s="61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</row>
    <row r="517" ht="22.5" customHeight="1">
      <c r="A517" s="157" t="s">
        <v>177</v>
      </c>
      <c r="B517" s="158" t="s">
        <v>48</v>
      </c>
      <c r="C517" s="158">
        <v>8872319.0</v>
      </c>
      <c r="D517" s="158" t="s">
        <v>1109</v>
      </c>
      <c r="E517" s="159">
        <v>45832.0</v>
      </c>
      <c r="F517" s="288" t="s">
        <v>601</v>
      </c>
      <c r="G517" s="158" t="s">
        <v>52</v>
      </c>
      <c r="H517" s="48">
        <v>41807.0</v>
      </c>
      <c r="I517" s="48">
        <v>7943.0</v>
      </c>
      <c r="J517" s="42">
        <v>0.0</v>
      </c>
      <c r="K517" s="48">
        <v>49750.0</v>
      </c>
      <c r="L517" s="207" t="s">
        <v>64</v>
      </c>
      <c r="M517" s="283" t="s">
        <v>37</v>
      </c>
      <c r="N517" s="61" t="s">
        <v>44</v>
      </c>
      <c r="O517" s="61" t="s">
        <v>1110</v>
      </c>
      <c r="P517" s="241" t="s">
        <v>1111</v>
      </c>
      <c r="Q517" s="61"/>
      <c r="R517" s="61"/>
      <c r="S517" s="61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</row>
    <row r="518" ht="22.5" customHeight="1">
      <c r="A518" s="157" t="s">
        <v>177</v>
      </c>
      <c r="B518" s="158" t="s">
        <v>48</v>
      </c>
      <c r="C518" s="158">
        <v>1201523.0</v>
      </c>
      <c r="D518" s="158" t="s">
        <v>1112</v>
      </c>
      <c r="E518" s="159">
        <v>45832.0</v>
      </c>
      <c r="F518" s="288" t="s">
        <v>601</v>
      </c>
      <c r="G518" s="158" t="s">
        <v>52</v>
      </c>
      <c r="H518" s="48">
        <v>16798.0</v>
      </c>
      <c r="I518" s="48">
        <v>3192.0</v>
      </c>
      <c r="J518" s="42">
        <v>0.0</v>
      </c>
      <c r="K518" s="48">
        <v>19990.0</v>
      </c>
      <c r="L518" s="61" t="s">
        <v>77</v>
      </c>
      <c r="M518" s="31" t="s">
        <v>37</v>
      </c>
      <c r="N518" s="61" t="s">
        <v>44</v>
      </c>
      <c r="O518" s="61" t="s">
        <v>1113</v>
      </c>
      <c r="P518" s="207" t="s">
        <v>1114</v>
      </c>
      <c r="Q518" s="61"/>
      <c r="R518" s="61"/>
      <c r="S518" s="61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</row>
    <row r="519" ht="22.5" customHeight="1">
      <c r="A519" s="157" t="s">
        <v>148</v>
      </c>
      <c r="B519" s="158" t="s">
        <v>48</v>
      </c>
      <c r="C519" s="158">
        <v>7875012.0</v>
      </c>
      <c r="D519" s="158" t="s">
        <v>1115</v>
      </c>
      <c r="E519" s="159">
        <v>45832.0</v>
      </c>
      <c r="F519" s="288" t="s">
        <v>601</v>
      </c>
      <c r="G519" s="158" t="s">
        <v>52</v>
      </c>
      <c r="H519" s="48">
        <f>K519-I519</f>
        <v>12141.9</v>
      </c>
      <c r="I519" s="42">
        <f>K519*19%</f>
        <v>2848.1</v>
      </c>
      <c r="J519" s="42">
        <v>0.0</v>
      </c>
      <c r="K519" s="48">
        <v>14990.0</v>
      </c>
      <c r="L519" s="61" t="s">
        <v>77</v>
      </c>
      <c r="M519" s="31" t="s">
        <v>37</v>
      </c>
      <c r="N519" s="61" t="s">
        <v>44</v>
      </c>
      <c r="O519" s="61" t="s">
        <v>1116</v>
      </c>
      <c r="P519" s="61" t="s">
        <v>1000</v>
      </c>
      <c r="Q519" s="61"/>
      <c r="R519" s="61"/>
      <c r="S519" s="61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</row>
    <row r="520" ht="22.5" customHeight="1">
      <c r="A520" s="157" t="s">
        <v>177</v>
      </c>
      <c r="B520" s="158" t="s">
        <v>48</v>
      </c>
      <c r="C520" s="158">
        <v>5.1210489E7</v>
      </c>
      <c r="D520" s="158" t="s">
        <v>876</v>
      </c>
      <c r="E520" s="159">
        <v>45832.0</v>
      </c>
      <c r="F520" s="288" t="s">
        <v>986</v>
      </c>
      <c r="G520" s="158" t="s">
        <v>187</v>
      </c>
      <c r="H520" s="48">
        <v>588614.0</v>
      </c>
      <c r="I520" s="48">
        <v>111837.0</v>
      </c>
      <c r="J520" s="42">
        <v>0.0</v>
      </c>
      <c r="K520" s="48">
        <v>700451.0</v>
      </c>
      <c r="L520" s="61" t="s">
        <v>77</v>
      </c>
      <c r="M520" s="31" t="s">
        <v>37</v>
      </c>
      <c r="N520" s="61" t="s">
        <v>44</v>
      </c>
      <c r="O520" s="61" t="s">
        <v>1117</v>
      </c>
      <c r="P520" s="207" t="s">
        <v>1118</v>
      </c>
      <c r="Q520" s="61"/>
      <c r="R520" s="61"/>
      <c r="S520" s="61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</row>
    <row r="521" ht="22.5" customHeight="1">
      <c r="A521" s="157" t="s">
        <v>177</v>
      </c>
      <c r="B521" s="158" t="s">
        <v>48</v>
      </c>
      <c r="C521" s="158">
        <v>918469.0</v>
      </c>
      <c r="D521" s="158" t="s">
        <v>1119</v>
      </c>
      <c r="E521" s="159">
        <v>45818.0</v>
      </c>
      <c r="F521" s="288" t="s">
        <v>601</v>
      </c>
      <c r="G521" s="158" t="s">
        <v>52</v>
      </c>
      <c r="H521" s="48">
        <v>51800.0</v>
      </c>
      <c r="I521" s="48">
        <v>9842.0</v>
      </c>
      <c r="J521" s="42">
        <v>0.0</v>
      </c>
      <c r="K521" s="48">
        <v>61642.0</v>
      </c>
      <c r="L521" s="61" t="s">
        <v>77</v>
      </c>
      <c r="M521" s="31" t="s">
        <v>37</v>
      </c>
      <c r="N521" s="61" t="s">
        <v>46</v>
      </c>
      <c r="O521" s="61" t="s">
        <v>1120</v>
      </c>
      <c r="P521" s="207" t="s">
        <v>1121</v>
      </c>
      <c r="Q521" s="61"/>
      <c r="R521" s="61"/>
      <c r="S521" s="61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</row>
    <row r="522" ht="22.5" customHeight="1">
      <c r="A522" s="157" t="s">
        <v>69</v>
      </c>
      <c r="B522" s="158" t="s">
        <v>48</v>
      </c>
      <c r="C522" s="158"/>
      <c r="D522" s="158" t="s">
        <v>906</v>
      </c>
      <c r="E522" s="159">
        <v>45813.0</v>
      </c>
      <c r="F522" s="288" t="s">
        <v>51</v>
      </c>
      <c r="G522" s="158" t="s">
        <v>52</v>
      </c>
      <c r="H522" s="48">
        <v>0.0</v>
      </c>
      <c r="I522" s="48">
        <v>0.0</v>
      </c>
      <c r="J522" s="42">
        <v>0.0</v>
      </c>
      <c r="K522" s="48">
        <v>78151.0</v>
      </c>
      <c r="L522" s="61" t="s">
        <v>77</v>
      </c>
      <c r="M522" s="31" t="s">
        <v>37</v>
      </c>
      <c r="N522" s="61" t="s">
        <v>44</v>
      </c>
      <c r="O522" s="61" t="s">
        <v>1122</v>
      </c>
      <c r="P522" s="207" t="s">
        <v>1123</v>
      </c>
      <c r="Q522" s="61"/>
      <c r="R522" s="61"/>
      <c r="S522" s="61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</row>
    <row r="523" ht="22.5" customHeight="1">
      <c r="A523" s="157" t="s">
        <v>69</v>
      </c>
      <c r="B523" s="158" t="s">
        <v>48</v>
      </c>
      <c r="C523" s="158"/>
      <c r="D523" s="158" t="s">
        <v>869</v>
      </c>
      <c r="E523" s="159">
        <v>45812.0</v>
      </c>
      <c r="F523" s="288" t="s">
        <v>601</v>
      </c>
      <c r="G523" s="158" t="s">
        <v>52</v>
      </c>
      <c r="H523" s="48">
        <v>0.0</v>
      </c>
      <c r="I523" s="48">
        <v>0.0</v>
      </c>
      <c r="J523" s="42">
        <v>0.0</v>
      </c>
      <c r="K523" s="48">
        <v>40000.0</v>
      </c>
      <c r="L523" s="61" t="s">
        <v>77</v>
      </c>
      <c r="M523" s="31" t="s">
        <v>37</v>
      </c>
      <c r="N523" s="61" t="s">
        <v>47</v>
      </c>
      <c r="O523" s="61" t="s">
        <v>142</v>
      </c>
      <c r="P523" s="207" t="s">
        <v>1124</v>
      </c>
      <c r="Q523" s="61"/>
      <c r="R523" s="61"/>
      <c r="S523" s="61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</row>
    <row r="524" ht="22.5" customHeight="1">
      <c r="A524" s="157" t="s">
        <v>69</v>
      </c>
      <c r="B524" s="158" t="s">
        <v>48</v>
      </c>
      <c r="C524" s="158"/>
      <c r="D524" s="158" t="s">
        <v>1125</v>
      </c>
      <c r="E524" s="159">
        <v>45807.0</v>
      </c>
      <c r="F524" s="288" t="s">
        <v>51</v>
      </c>
      <c r="G524" s="158" t="s">
        <v>52</v>
      </c>
      <c r="H524" s="48">
        <v>0.0</v>
      </c>
      <c r="I524" s="48">
        <v>0.0</v>
      </c>
      <c r="J524" s="42">
        <v>0.0</v>
      </c>
      <c r="K524" s="48">
        <v>36684.0</v>
      </c>
      <c r="L524" s="61" t="s">
        <v>77</v>
      </c>
      <c r="M524" s="31" t="s">
        <v>37</v>
      </c>
      <c r="N524" s="61" t="s">
        <v>44</v>
      </c>
      <c r="O524" s="61" t="s">
        <v>1126</v>
      </c>
      <c r="P524" s="207" t="s">
        <v>1127</v>
      </c>
      <c r="Q524" s="61"/>
      <c r="R524" s="61"/>
      <c r="S524" s="61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</row>
    <row r="525" ht="22.5" customHeight="1">
      <c r="A525" s="157" t="s">
        <v>148</v>
      </c>
      <c r="B525" s="158" t="s">
        <v>48</v>
      </c>
      <c r="C525" s="158">
        <v>1.468041E7</v>
      </c>
      <c r="D525" s="158" t="s">
        <v>1128</v>
      </c>
      <c r="E525" s="159">
        <v>45803.0</v>
      </c>
      <c r="F525" s="288" t="s">
        <v>601</v>
      </c>
      <c r="G525" s="158" t="s">
        <v>52</v>
      </c>
      <c r="H525" s="48">
        <f t="shared" ref="H525:H526" si="100">K525-I525</f>
        <v>40653.9</v>
      </c>
      <c r="I525" s="42">
        <f t="shared" ref="I525:I526" si="101">K525*19%</f>
        <v>9536.1</v>
      </c>
      <c r="J525" s="42">
        <v>0.0</v>
      </c>
      <c r="K525" s="48">
        <v>50190.0</v>
      </c>
      <c r="L525" s="61" t="s">
        <v>77</v>
      </c>
      <c r="M525" s="31" t="s">
        <v>37</v>
      </c>
      <c r="N525" s="61" t="s">
        <v>44</v>
      </c>
      <c r="O525" s="61" t="s">
        <v>1129</v>
      </c>
      <c r="P525" s="207" t="s">
        <v>1130</v>
      </c>
      <c r="Q525" s="61"/>
      <c r="R525" s="61"/>
      <c r="S525" s="61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</row>
    <row r="526" ht="22.5" customHeight="1">
      <c r="A526" s="123" t="s">
        <v>148</v>
      </c>
      <c r="B526" s="124" t="s">
        <v>48</v>
      </c>
      <c r="C526" s="63"/>
      <c r="D526" s="131" t="s">
        <v>460</v>
      </c>
      <c r="E526" s="132">
        <v>45727.0</v>
      </c>
      <c r="F526" s="124" t="s">
        <v>51</v>
      </c>
      <c r="G526" s="125" t="s">
        <v>52</v>
      </c>
      <c r="H526" s="48">
        <f t="shared" si="100"/>
        <v>85847.85</v>
      </c>
      <c r="I526" s="42">
        <f t="shared" si="101"/>
        <v>20137.15</v>
      </c>
      <c r="J526" s="39">
        <v>0.0</v>
      </c>
      <c r="K526" s="48">
        <v>105985.0</v>
      </c>
      <c r="L526" s="57" t="s">
        <v>77</v>
      </c>
      <c r="M526" s="49" t="s">
        <v>37</v>
      </c>
      <c r="N526" s="57" t="s">
        <v>46</v>
      </c>
      <c r="O526" s="57" t="s">
        <v>593</v>
      </c>
      <c r="P526" s="57"/>
      <c r="Q526" s="57"/>
      <c r="R526" s="57"/>
      <c r="S526" s="57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</row>
    <row r="527" ht="22.5" customHeight="1">
      <c r="A527" s="123" t="s">
        <v>40</v>
      </c>
      <c r="B527" s="124" t="s">
        <v>48</v>
      </c>
      <c r="C527" s="63">
        <v>13.0</v>
      </c>
      <c r="D527" s="131" t="s">
        <v>455</v>
      </c>
      <c r="E527" s="132">
        <v>45707.0</v>
      </c>
      <c r="F527" s="124" t="s">
        <v>51</v>
      </c>
      <c r="G527" s="125" t="s">
        <v>52</v>
      </c>
      <c r="H527" s="88">
        <v>250000.0</v>
      </c>
      <c r="I527" s="42">
        <v>0.0</v>
      </c>
      <c r="J527" s="88">
        <v>44985.0</v>
      </c>
      <c r="K527" s="48">
        <v>294985.0</v>
      </c>
      <c r="L527" s="57" t="s">
        <v>77</v>
      </c>
      <c r="M527" s="49" t="s">
        <v>37</v>
      </c>
      <c r="N527" s="57" t="s">
        <v>46</v>
      </c>
      <c r="O527" s="49" t="s">
        <v>522</v>
      </c>
      <c r="P527" s="57" t="s">
        <v>1131</v>
      </c>
      <c r="Q527" s="57"/>
      <c r="R527" s="57"/>
      <c r="S527" s="57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</row>
    <row r="528" ht="22.5" customHeight="1">
      <c r="A528" s="157"/>
      <c r="B528" s="158"/>
      <c r="C528" s="158"/>
      <c r="D528" s="158"/>
      <c r="E528" s="159"/>
      <c r="F528" s="160"/>
      <c r="G528" s="158"/>
      <c r="H528" s="42"/>
      <c r="I528" s="42"/>
      <c r="J528" s="42"/>
      <c r="K528" s="48"/>
      <c r="L528" s="115"/>
      <c r="M528" s="51"/>
      <c r="N528" s="61"/>
      <c r="O528" s="61"/>
      <c r="P528" s="61"/>
      <c r="Q528" s="61"/>
      <c r="R528" s="61"/>
      <c r="S528" s="61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</row>
    <row r="529" ht="22.5" customHeight="1">
      <c r="A529" s="121"/>
      <c r="B529" s="61"/>
      <c r="C529" s="63"/>
      <c r="D529" s="63"/>
      <c r="E529" s="122"/>
      <c r="F529" s="61"/>
      <c r="G529" s="63"/>
      <c r="H529" s="88"/>
      <c r="I529" s="48"/>
      <c r="J529" s="88"/>
      <c r="K529" s="48"/>
      <c r="L529" s="57"/>
      <c r="M529" s="115"/>
      <c r="N529" s="57"/>
      <c r="O529" s="57"/>
      <c r="P529" s="291"/>
      <c r="Q529" s="57"/>
      <c r="R529" s="57"/>
      <c r="S529" s="4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</row>
    <row r="530" ht="22.5" customHeight="1">
      <c r="A530" s="121"/>
      <c r="B530" s="61"/>
      <c r="C530" s="63"/>
      <c r="D530" s="63"/>
      <c r="E530" s="122"/>
      <c r="F530" s="61"/>
      <c r="G530" s="63"/>
      <c r="H530" s="88"/>
      <c r="I530" s="48"/>
      <c r="J530" s="88"/>
      <c r="K530" s="48"/>
      <c r="L530" s="57"/>
      <c r="M530" s="115"/>
      <c r="N530" s="57"/>
      <c r="O530" s="57"/>
      <c r="P530" s="291"/>
      <c r="Q530" s="57"/>
      <c r="R530" s="57"/>
      <c r="S530" s="4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</row>
    <row r="531" ht="22.5" customHeight="1">
      <c r="A531" s="121"/>
      <c r="B531" s="61"/>
      <c r="C531" s="63"/>
      <c r="D531" s="63"/>
      <c r="E531" s="122"/>
      <c r="F531" s="61"/>
      <c r="G531" s="63"/>
      <c r="H531" s="88"/>
      <c r="I531" s="48"/>
      <c r="J531" s="88"/>
      <c r="K531" s="48"/>
      <c r="L531" s="57"/>
      <c r="M531" s="115"/>
      <c r="N531" s="57"/>
      <c r="O531" s="57"/>
      <c r="P531" s="291"/>
      <c r="Q531" s="57"/>
      <c r="R531" s="57"/>
      <c r="S531" s="4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</row>
    <row r="532" ht="22.5" customHeight="1">
      <c r="A532" s="121"/>
      <c r="B532" s="61"/>
      <c r="C532" s="63"/>
      <c r="D532" s="63"/>
      <c r="E532" s="122"/>
      <c r="F532" s="61"/>
      <c r="G532" s="63"/>
      <c r="H532" s="88"/>
      <c r="I532" s="48"/>
      <c r="J532" s="88"/>
      <c r="K532" s="48"/>
      <c r="L532" s="57"/>
      <c r="M532" s="115"/>
      <c r="N532" s="57"/>
      <c r="O532" s="57"/>
      <c r="P532" s="291"/>
      <c r="Q532" s="57"/>
      <c r="R532" s="57"/>
      <c r="S532" s="4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</row>
    <row r="533" ht="22.5" customHeight="1">
      <c r="A533" s="292"/>
      <c r="B533" s="256"/>
      <c r="C533" s="293"/>
      <c r="D533" s="293"/>
      <c r="E533" s="294"/>
      <c r="F533" s="256"/>
      <c r="G533" s="293"/>
      <c r="H533" s="295"/>
      <c r="I533" s="224"/>
      <c r="J533" s="295"/>
      <c r="K533" s="224"/>
      <c r="L533" s="194"/>
      <c r="M533" s="115"/>
      <c r="N533" s="194"/>
      <c r="O533" s="194"/>
      <c r="P533" s="296"/>
      <c r="Q533" s="194"/>
      <c r="R533" s="194"/>
      <c r="S533" s="297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</row>
    <row r="534" ht="22.5" customHeight="1">
      <c r="A534" s="171"/>
      <c r="B534" s="158"/>
      <c r="C534" s="165"/>
      <c r="D534" s="165"/>
      <c r="E534" s="159"/>
      <c r="F534" s="158"/>
      <c r="G534" s="158"/>
      <c r="H534" s="48"/>
      <c r="I534" s="48"/>
      <c r="J534" s="48"/>
      <c r="K534" s="48"/>
      <c r="L534" s="61"/>
      <c r="M534" s="61"/>
      <c r="N534" s="61"/>
      <c r="O534" s="61"/>
      <c r="P534" s="61"/>
      <c r="Q534" s="61"/>
      <c r="R534" s="61"/>
      <c r="S534" s="61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</row>
    <row r="535" ht="22.5" customHeight="1">
      <c r="A535" s="157"/>
      <c r="B535" s="158"/>
      <c r="C535" s="158"/>
      <c r="D535" s="158"/>
      <c r="E535" s="159"/>
      <c r="F535" s="158"/>
      <c r="G535" s="158"/>
      <c r="H535" s="48"/>
      <c r="I535" s="48"/>
      <c r="J535" s="48"/>
      <c r="K535" s="48"/>
      <c r="L535" s="61"/>
      <c r="M535" s="61"/>
      <c r="N535" s="61"/>
      <c r="O535" s="61"/>
      <c r="P535" s="61"/>
      <c r="Q535" s="61"/>
      <c r="R535" s="61"/>
      <c r="S535" s="61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</row>
    <row r="536" ht="22.5" customHeight="1">
      <c r="A536" s="157"/>
      <c r="B536" s="158"/>
      <c r="C536" s="158"/>
      <c r="D536" s="158"/>
      <c r="E536" s="159"/>
      <c r="F536" s="158"/>
      <c r="G536" s="158"/>
      <c r="H536" s="48"/>
      <c r="I536" s="48"/>
      <c r="J536" s="48"/>
      <c r="K536" s="48"/>
      <c r="L536" s="61"/>
      <c r="M536" s="61"/>
      <c r="N536" s="61"/>
      <c r="O536" s="61"/>
      <c r="P536" s="61"/>
      <c r="Q536" s="61"/>
      <c r="R536" s="61"/>
      <c r="S536" s="61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</row>
    <row r="537" ht="22.5" customHeight="1">
      <c r="A537" s="157"/>
      <c r="B537" s="158"/>
      <c r="C537" s="158"/>
      <c r="D537" s="158"/>
      <c r="E537" s="159"/>
      <c r="F537" s="158"/>
      <c r="G537" s="158"/>
      <c r="H537" s="48"/>
      <c r="I537" s="48"/>
      <c r="J537" s="48"/>
      <c r="K537" s="48"/>
      <c r="L537" s="61"/>
      <c r="M537" s="61"/>
      <c r="N537" s="61"/>
      <c r="O537" s="61"/>
      <c r="P537" s="61"/>
      <c r="Q537" s="61"/>
      <c r="R537" s="61"/>
      <c r="S537" s="61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</row>
    <row r="538" ht="22.5" customHeight="1">
      <c r="A538" s="157"/>
      <c r="B538" s="158"/>
      <c r="C538" s="158"/>
      <c r="D538" s="158"/>
      <c r="E538" s="159"/>
      <c r="F538" s="158"/>
      <c r="G538" s="158"/>
      <c r="H538" s="48"/>
      <c r="I538" s="48"/>
      <c r="J538" s="48"/>
      <c r="K538" s="48"/>
      <c r="L538" s="61"/>
      <c r="M538" s="61"/>
      <c r="N538" s="61"/>
      <c r="O538" s="61"/>
      <c r="P538" s="61"/>
      <c r="Q538" s="61"/>
      <c r="R538" s="61"/>
      <c r="S538" s="61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</row>
    <row r="539" ht="22.5" customHeight="1">
      <c r="A539" s="157"/>
      <c r="B539" s="158"/>
      <c r="C539" s="158"/>
      <c r="D539" s="158"/>
      <c r="E539" s="159"/>
      <c r="F539" s="158"/>
      <c r="G539" s="158"/>
      <c r="H539" s="48"/>
      <c r="I539" s="48"/>
      <c r="J539" s="48"/>
      <c r="K539" s="48"/>
      <c r="L539" s="61"/>
      <c r="M539" s="61"/>
      <c r="N539" s="61"/>
      <c r="O539" s="61"/>
      <c r="P539" s="61"/>
      <c r="Q539" s="61"/>
      <c r="R539" s="61"/>
      <c r="S539" s="61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</row>
    <row r="540" ht="22.5" customHeight="1">
      <c r="A540" s="157"/>
      <c r="B540" s="158"/>
      <c r="C540" s="158"/>
      <c r="D540" s="158"/>
      <c r="E540" s="159"/>
      <c r="F540" s="158"/>
      <c r="G540" s="158"/>
      <c r="H540" s="48"/>
      <c r="I540" s="48"/>
      <c r="J540" s="48"/>
      <c r="K540" s="48"/>
      <c r="L540" s="61"/>
      <c r="M540" s="61"/>
      <c r="N540" s="61"/>
      <c r="O540" s="61"/>
      <c r="P540" s="61"/>
      <c r="Q540" s="61"/>
      <c r="R540" s="61"/>
      <c r="S540" s="61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</row>
    <row r="541" ht="22.5" customHeight="1">
      <c r="A541" s="157"/>
      <c r="B541" s="158"/>
      <c r="C541" s="158"/>
      <c r="D541" s="158"/>
      <c r="E541" s="159"/>
      <c r="F541" s="158"/>
      <c r="G541" s="158"/>
      <c r="H541" s="48"/>
      <c r="I541" s="48"/>
      <c r="J541" s="48"/>
      <c r="K541" s="48"/>
      <c r="L541" s="61"/>
      <c r="M541" s="61"/>
      <c r="N541" s="61"/>
      <c r="O541" s="61"/>
      <c r="P541" s="61"/>
      <c r="Q541" s="61"/>
      <c r="R541" s="61"/>
      <c r="S541" s="61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</row>
    <row r="542" ht="22.5" customHeight="1">
      <c r="A542" s="157"/>
      <c r="B542" s="158"/>
      <c r="C542" s="158"/>
      <c r="D542" s="158"/>
      <c r="E542" s="159"/>
      <c r="F542" s="158"/>
      <c r="G542" s="158"/>
      <c r="H542" s="48"/>
      <c r="I542" s="48"/>
      <c r="J542" s="48"/>
      <c r="K542" s="48"/>
      <c r="L542" s="61"/>
      <c r="M542" s="61"/>
      <c r="N542" s="61"/>
      <c r="O542" s="61"/>
      <c r="P542" s="61"/>
      <c r="Q542" s="61"/>
      <c r="R542" s="61"/>
      <c r="S542" s="61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</row>
    <row r="543" ht="22.5" customHeight="1">
      <c r="A543" s="157"/>
      <c r="B543" s="158"/>
      <c r="C543" s="158"/>
      <c r="D543" s="158"/>
      <c r="E543" s="159"/>
      <c r="F543" s="158"/>
      <c r="G543" s="158"/>
      <c r="H543" s="48"/>
      <c r="I543" s="48"/>
      <c r="J543" s="48"/>
      <c r="K543" s="48"/>
      <c r="L543" s="61"/>
      <c r="M543" s="61"/>
      <c r="N543" s="61"/>
      <c r="O543" s="61"/>
      <c r="P543" s="61"/>
      <c r="Q543" s="61"/>
      <c r="R543" s="61"/>
      <c r="S543" s="61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</row>
    <row r="544" ht="22.5" customHeight="1">
      <c r="A544" s="157"/>
      <c r="B544" s="158"/>
      <c r="C544" s="158"/>
      <c r="D544" s="158"/>
      <c r="E544" s="159"/>
      <c r="F544" s="158"/>
      <c r="G544" s="158"/>
      <c r="H544" s="48"/>
      <c r="I544" s="48"/>
      <c r="J544" s="48"/>
      <c r="K544" s="48"/>
      <c r="L544" s="61"/>
      <c r="M544" s="61"/>
      <c r="N544" s="61"/>
      <c r="O544" s="61"/>
      <c r="P544" s="61"/>
      <c r="Q544" s="61"/>
      <c r="R544" s="61"/>
      <c r="S544" s="61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</row>
    <row r="545" ht="22.5" customHeight="1">
      <c r="A545" s="157"/>
      <c r="B545" s="158"/>
      <c r="C545" s="158"/>
      <c r="D545" s="158"/>
      <c r="E545" s="159"/>
      <c r="F545" s="158"/>
      <c r="G545" s="158"/>
      <c r="H545" s="48"/>
      <c r="I545" s="48"/>
      <c r="J545" s="48"/>
      <c r="K545" s="48"/>
      <c r="L545" s="61"/>
      <c r="M545" s="61"/>
      <c r="N545" s="61"/>
      <c r="O545" s="61"/>
      <c r="P545" s="61"/>
      <c r="Q545" s="61"/>
      <c r="R545" s="61"/>
      <c r="S545" s="61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</row>
    <row r="546" ht="22.5" customHeight="1">
      <c r="A546" s="157"/>
      <c r="B546" s="158"/>
      <c r="C546" s="158"/>
      <c r="D546" s="158"/>
      <c r="E546" s="159"/>
      <c r="F546" s="158"/>
      <c r="G546" s="158"/>
      <c r="H546" s="48"/>
      <c r="I546" s="48"/>
      <c r="J546" s="48"/>
      <c r="K546" s="48"/>
      <c r="L546" s="61"/>
      <c r="M546" s="61"/>
      <c r="N546" s="61"/>
      <c r="O546" s="61"/>
      <c r="P546" s="61"/>
      <c r="Q546" s="61"/>
      <c r="R546" s="61"/>
      <c r="S546" s="61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</row>
    <row r="547" ht="22.5" customHeight="1">
      <c r="A547" s="157"/>
      <c r="B547" s="158"/>
      <c r="C547" s="158"/>
      <c r="D547" s="158"/>
      <c r="E547" s="159"/>
      <c r="F547" s="158"/>
      <c r="G547" s="158"/>
      <c r="H547" s="48"/>
      <c r="I547" s="48"/>
      <c r="J547" s="48"/>
      <c r="K547" s="48"/>
      <c r="L547" s="61"/>
      <c r="M547" s="61"/>
      <c r="N547" s="61"/>
      <c r="O547" s="61"/>
      <c r="P547" s="61"/>
      <c r="Q547" s="61"/>
      <c r="R547" s="61"/>
      <c r="S547" s="61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</row>
    <row r="548" ht="22.5" customHeight="1">
      <c r="A548" s="157"/>
      <c r="B548" s="158"/>
      <c r="C548" s="158"/>
      <c r="D548" s="158"/>
      <c r="E548" s="159"/>
      <c r="F548" s="158"/>
      <c r="G548" s="158"/>
      <c r="H548" s="48"/>
      <c r="I548" s="48"/>
      <c r="J548" s="48"/>
      <c r="K548" s="48"/>
      <c r="L548" s="61"/>
      <c r="M548" s="61"/>
      <c r="N548" s="61"/>
      <c r="O548" s="61"/>
      <c r="P548" s="61"/>
      <c r="Q548" s="61"/>
      <c r="R548" s="61"/>
      <c r="S548" s="61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</row>
    <row r="549" ht="22.5" customHeight="1">
      <c r="A549" s="157"/>
      <c r="B549" s="158"/>
      <c r="C549" s="158"/>
      <c r="D549" s="158"/>
      <c r="E549" s="159"/>
      <c r="F549" s="158"/>
      <c r="G549" s="158"/>
      <c r="H549" s="48"/>
      <c r="I549" s="48"/>
      <c r="J549" s="48"/>
      <c r="K549" s="48"/>
      <c r="L549" s="61"/>
      <c r="M549" s="61"/>
      <c r="N549" s="61"/>
      <c r="O549" s="61"/>
      <c r="P549" s="61"/>
      <c r="Q549" s="61"/>
      <c r="R549" s="61"/>
      <c r="S549" s="61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</row>
    <row r="550" ht="22.5" customHeight="1">
      <c r="A550" s="157"/>
      <c r="B550" s="158"/>
      <c r="C550" s="158"/>
      <c r="D550" s="158"/>
      <c r="E550" s="159"/>
      <c r="F550" s="158"/>
      <c r="G550" s="158"/>
      <c r="H550" s="48"/>
      <c r="I550" s="48"/>
      <c r="J550" s="48"/>
      <c r="K550" s="48"/>
      <c r="L550" s="61"/>
      <c r="M550" s="61"/>
      <c r="N550" s="61"/>
      <c r="O550" s="61"/>
      <c r="P550" s="61"/>
      <c r="Q550" s="61"/>
      <c r="R550" s="61"/>
      <c r="S550" s="61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</row>
    <row r="551" ht="22.5" customHeight="1">
      <c r="A551" s="157"/>
      <c r="B551" s="158"/>
      <c r="C551" s="158"/>
      <c r="D551" s="158"/>
      <c r="E551" s="159"/>
      <c r="F551" s="158"/>
      <c r="G551" s="158"/>
      <c r="H551" s="48"/>
      <c r="I551" s="48"/>
      <c r="J551" s="48"/>
      <c r="K551" s="48"/>
      <c r="L551" s="61"/>
      <c r="M551" s="61"/>
      <c r="N551" s="61"/>
      <c r="O551" s="61"/>
      <c r="P551" s="61"/>
      <c r="Q551" s="61"/>
      <c r="R551" s="61"/>
      <c r="S551" s="61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</row>
    <row r="552" ht="22.5" customHeight="1">
      <c r="A552" s="157"/>
      <c r="B552" s="158"/>
      <c r="C552" s="158"/>
      <c r="D552" s="158"/>
      <c r="E552" s="159"/>
      <c r="F552" s="158"/>
      <c r="G552" s="158"/>
      <c r="H552" s="48"/>
      <c r="I552" s="48"/>
      <c r="J552" s="48"/>
      <c r="K552" s="48"/>
      <c r="L552" s="61"/>
      <c r="M552" s="61"/>
      <c r="N552" s="61"/>
      <c r="O552" s="61"/>
      <c r="P552" s="61"/>
      <c r="Q552" s="61"/>
      <c r="R552" s="61"/>
      <c r="S552" s="61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</row>
    <row r="553" ht="22.5" customHeight="1">
      <c r="A553" s="157"/>
      <c r="B553" s="158"/>
      <c r="C553" s="158"/>
      <c r="D553" s="158"/>
      <c r="E553" s="159"/>
      <c r="F553" s="158"/>
      <c r="G553" s="158"/>
      <c r="H553" s="48"/>
      <c r="I553" s="48"/>
      <c r="J553" s="48"/>
      <c r="K553" s="48"/>
      <c r="L553" s="61"/>
      <c r="M553" s="61"/>
      <c r="N553" s="61"/>
      <c r="O553" s="61"/>
      <c r="P553" s="61"/>
      <c r="Q553" s="61"/>
      <c r="R553" s="61"/>
      <c r="S553" s="61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</row>
    <row r="554" ht="22.5" customHeight="1">
      <c r="A554" s="157"/>
      <c r="B554" s="158"/>
      <c r="C554" s="158"/>
      <c r="D554" s="158"/>
      <c r="E554" s="159"/>
      <c r="F554" s="158"/>
      <c r="G554" s="158"/>
      <c r="H554" s="48"/>
      <c r="I554" s="48"/>
      <c r="J554" s="48"/>
      <c r="K554" s="48"/>
      <c r="L554" s="61"/>
      <c r="M554" s="61"/>
      <c r="N554" s="61"/>
      <c r="O554" s="61"/>
      <c r="P554" s="61"/>
      <c r="Q554" s="61"/>
      <c r="R554" s="61"/>
      <c r="S554" s="61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</row>
    <row r="555" ht="22.5" customHeight="1">
      <c r="A555" s="157"/>
      <c r="B555" s="158"/>
      <c r="C555" s="158"/>
      <c r="D555" s="158"/>
      <c r="E555" s="159"/>
      <c r="F555" s="158"/>
      <c r="G555" s="158"/>
      <c r="H555" s="48"/>
      <c r="I555" s="48"/>
      <c r="J555" s="48"/>
      <c r="K555" s="48"/>
      <c r="L555" s="61"/>
      <c r="M555" s="61"/>
      <c r="N555" s="61"/>
      <c r="O555" s="61"/>
      <c r="P555" s="61"/>
      <c r="Q555" s="61"/>
      <c r="R555" s="61"/>
      <c r="S555" s="61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</row>
    <row r="556" ht="22.5" customHeight="1">
      <c r="A556" s="157"/>
      <c r="B556" s="158"/>
      <c r="C556" s="158"/>
      <c r="D556" s="158"/>
      <c r="E556" s="159"/>
      <c r="F556" s="158"/>
      <c r="G556" s="158"/>
      <c r="H556" s="48"/>
      <c r="I556" s="48"/>
      <c r="J556" s="48"/>
      <c r="K556" s="48"/>
      <c r="L556" s="61"/>
      <c r="M556" s="61"/>
      <c r="N556" s="61"/>
      <c r="O556" s="61"/>
      <c r="P556" s="61"/>
      <c r="Q556" s="61"/>
      <c r="R556" s="61"/>
      <c r="S556" s="61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</row>
    <row r="557" ht="22.5" customHeight="1">
      <c r="A557" s="157"/>
      <c r="B557" s="158"/>
      <c r="C557" s="158"/>
      <c r="D557" s="158"/>
      <c r="E557" s="159"/>
      <c r="F557" s="158"/>
      <c r="G557" s="158"/>
      <c r="H557" s="48"/>
      <c r="I557" s="48"/>
      <c r="J557" s="48"/>
      <c r="K557" s="48"/>
      <c r="L557" s="61"/>
      <c r="M557" s="61"/>
      <c r="N557" s="61"/>
      <c r="O557" s="61"/>
      <c r="P557" s="61"/>
      <c r="Q557" s="61"/>
      <c r="R557" s="61"/>
      <c r="S557" s="61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</row>
    <row r="558" ht="22.5" customHeight="1">
      <c r="A558" s="157"/>
      <c r="B558" s="158"/>
      <c r="C558" s="158"/>
      <c r="D558" s="158"/>
      <c r="E558" s="159"/>
      <c r="F558" s="158"/>
      <c r="G558" s="158"/>
      <c r="H558" s="48"/>
      <c r="I558" s="48"/>
      <c r="J558" s="48"/>
      <c r="K558" s="48"/>
      <c r="L558" s="61"/>
      <c r="M558" s="61"/>
      <c r="N558" s="61"/>
      <c r="O558" s="61"/>
      <c r="P558" s="61"/>
      <c r="Q558" s="61"/>
      <c r="R558" s="61"/>
      <c r="S558" s="61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</row>
    <row r="559" ht="22.5" customHeight="1">
      <c r="A559" s="157"/>
      <c r="B559" s="158"/>
      <c r="C559" s="158"/>
      <c r="D559" s="158"/>
      <c r="E559" s="159"/>
      <c r="F559" s="158"/>
      <c r="G559" s="158"/>
      <c r="H559" s="48"/>
      <c r="I559" s="48"/>
      <c r="J559" s="48"/>
      <c r="K559" s="48"/>
      <c r="L559" s="61"/>
      <c r="M559" s="61"/>
      <c r="N559" s="61"/>
      <c r="O559" s="61"/>
      <c r="P559" s="61"/>
      <c r="Q559" s="61"/>
      <c r="R559" s="61"/>
      <c r="S559" s="61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</row>
    <row r="560" ht="22.5" customHeight="1">
      <c r="A560" s="157"/>
      <c r="B560" s="158"/>
      <c r="C560" s="158"/>
      <c r="D560" s="158"/>
      <c r="E560" s="159"/>
      <c r="F560" s="158"/>
      <c r="G560" s="158"/>
      <c r="H560" s="48"/>
      <c r="I560" s="48"/>
      <c r="J560" s="48"/>
      <c r="K560" s="48"/>
      <c r="L560" s="61"/>
      <c r="M560" s="61"/>
      <c r="N560" s="61"/>
      <c r="O560" s="61"/>
      <c r="P560" s="61"/>
      <c r="Q560" s="61"/>
      <c r="R560" s="61"/>
      <c r="S560" s="61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</row>
    <row r="561" ht="22.5" customHeight="1">
      <c r="A561" s="157"/>
      <c r="B561" s="158"/>
      <c r="C561" s="158"/>
      <c r="D561" s="158"/>
      <c r="E561" s="159"/>
      <c r="F561" s="158"/>
      <c r="G561" s="158"/>
      <c r="H561" s="48"/>
      <c r="I561" s="48"/>
      <c r="J561" s="48"/>
      <c r="K561" s="48"/>
      <c r="L561" s="61"/>
      <c r="M561" s="61"/>
      <c r="N561" s="61"/>
      <c r="O561" s="61"/>
      <c r="P561" s="61"/>
      <c r="Q561" s="61"/>
      <c r="R561" s="61"/>
      <c r="S561" s="61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</row>
    <row r="562" ht="22.5" customHeight="1">
      <c r="A562" s="157"/>
      <c r="B562" s="158"/>
      <c r="C562" s="158"/>
      <c r="D562" s="158"/>
      <c r="E562" s="159"/>
      <c r="F562" s="158"/>
      <c r="G562" s="158"/>
      <c r="H562" s="48"/>
      <c r="I562" s="48"/>
      <c r="J562" s="48"/>
      <c r="K562" s="48"/>
      <c r="L562" s="61"/>
      <c r="M562" s="61"/>
      <c r="N562" s="61"/>
      <c r="O562" s="61"/>
      <c r="P562" s="61"/>
      <c r="Q562" s="61"/>
      <c r="R562" s="61"/>
      <c r="S562" s="61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</row>
    <row r="563" ht="22.5" customHeight="1">
      <c r="A563" s="157"/>
      <c r="B563" s="158"/>
      <c r="C563" s="158"/>
      <c r="D563" s="158"/>
      <c r="E563" s="159"/>
      <c r="F563" s="158"/>
      <c r="G563" s="158"/>
      <c r="H563" s="48"/>
      <c r="I563" s="48"/>
      <c r="J563" s="48"/>
      <c r="K563" s="48"/>
      <c r="L563" s="61"/>
      <c r="M563" s="61"/>
      <c r="N563" s="61"/>
      <c r="O563" s="61"/>
      <c r="P563" s="61"/>
      <c r="Q563" s="61"/>
      <c r="R563" s="61"/>
      <c r="S563" s="61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</row>
    <row r="564" ht="22.5" customHeight="1">
      <c r="A564" s="157"/>
      <c r="B564" s="158"/>
      <c r="C564" s="158"/>
      <c r="D564" s="158"/>
      <c r="E564" s="159"/>
      <c r="F564" s="158"/>
      <c r="G564" s="158"/>
      <c r="H564" s="48"/>
      <c r="I564" s="48"/>
      <c r="J564" s="48"/>
      <c r="K564" s="48"/>
      <c r="L564" s="61"/>
      <c r="M564" s="61"/>
      <c r="N564" s="61"/>
      <c r="O564" s="61"/>
      <c r="P564" s="61"/>
      <c r="Q564" s="61"/>
      <c r="R564" s="61"/>
      <c r="S564" s="61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</row>
    <row r="565" ht="22.5" customHeight="1">
      <c r="A565" s="157"/>
      <c r="B565" s="158"/>
      <c r="C565" s="158"/>
      <c r="D565" s="158"/>
      <c r="E565" s="159"/>
      <c r="F565" s="158"/>
      <c r="G565" s="158"/>
      <c r="H565" s="48"/>
      <c r="I565" s="48"/>
      <c r="J565" s="48"/>
      <c r="K565" s="48"/>
      <c r="L565" s="61"/>
      <c r="M565" s="61"/>
      <c r="N565" s="61"/>
      <c r="O565" s="61"/>
      <c r="P565" s="61"/>
      <c r="Q565" s="61"/>
      <c r="R565" s="61"/>
      <c r="S565" s="61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</row>
    <row r="566" ht="22.5" customHeight="1">
      <c r="A566" s="157"/>
      <c r="B566" s="158"/>
      <c r="C566" s="158"/>
      <c r="D566" s="158"/>
      <c r="E566" s="159"/>
      <c r="F566" s="158"/>
      <c r="G566" s="158"/>
      <c r="H566" s="48"/>
      <c r="I566" s="48"/>
      <c r="J566" s="48"/>
      <c r="K566" s="48"/>
      <c r="L566" s="61"/>
      <c r="M566" s="61"/>
      <c r="N566" s="61"/>
      <c r="O566" s="61"/>
      <c r="P566" s="61"/>
      <c r="Q566" s="61"/>
      <c r="R566" s="61"/>
      <c r="S566" s="61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</row>
    <row r="567" ht="22.5" customHeight="1">
      <c r="A567" s="157"/>
      <c r="B567" s="158"/>
      <c r="C567" s="158"/>
      <c r="D567" s="158"/>
      <c r="E567" s="159"/>
      <c r="F567" s="158"/>
      <c r="G567" s="158"/>
      <c r="H567" s="48"/>
      <c r="I567" s="48"/>
      <c r="J567" s="48"/>
      <c r="K567" s="48"/>
      <c r="L567" s="61"/>
      <c r="M567" s="61"/>
      <c r="N567" s="61"/>
      <c r="O567" s="61"/>
      <c r="P567" s="61"/>
      <c r="Q567" s="61"/>
      <c r="R567" s="61"/>
      <c r="S567" s="61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</row>
    <row r="568" ht="22.5" customHeight="1">
      <c r="A568" s="157"/>
      <c r="B568" s="158"/>
      <c r="C568" s="158"/>
      <c r="D568" s="158"/>
      <c r="E568" s="159"/>
      <c r="F568" s="158"/>
      <c r="G568" s="158"/>
      <c r="H568" s="48"/>
      <c r="I568" s="48"/>
      <c r="J568" s="48"/>
      <c r="K568" s="48"/>
      <c r="L568" s="61"/>
      <c r="M568" s="61"/>
      <c r="N568" s="61"/>
      <c r="O568" s="61"/>
      <c r="P568" s="61"/>
      <c r="Q568" s="61"/>
      <c r="R568" s="61"/>
      <c r="S568" s="61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</row>
    <row r="569" ht="22.5" customHeight="1">
      <c r="A569" s="157"/>
      <c r="B569" s="158"/>
      <c r="C569" s="158"/>
      <c r="D569" s="158"/>
      <c r="E569" s="159"/>
      <c r="F569" s="158"/>
      <c r="G569" s="158"/>
      <c r="H569" s="48"/>
      <c r="I569" s="48"/>
      <c r="J569" s="48"/>
      <c r="K569" s="48"/>
      <c r="L569" s="61"/>
      <c r="M569" s="61"/>
      <c r="N569" s="61"/>
      <c r="O569" s="61"/>
      <c r="P569" s="61"/>
      <c r="Q569" s="61"/>
      <c r="R569" s="61"/>
      <c r="S569" s="61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</row>
    <row r="570" ht="22.5" customHeight="1">
      <c r="A570" s="157"/>
      <c r="B570" s="158"/>
      <c r="C570" s="158"/>
      <c r="D570" s="158"/>
      <c r="E570" s="159"/>
      <c r="F570" s="158"/>
      <c r="G570" s="158"/>
      <c r="H570" s="48"/>
      <c r="I570" s="48"/>
      <c r="J570" s="48"/>
      <c r="K570" s="48"/>
      <c r="L570" s="61"/>
      <c r="M570" s="61"/>
      <c r="N570" s="61"/>
      <c r="O570" s="61"/>
      <c r="P570" s="61"/>
      <c r="Q570" s="61"/>
      <c r="R570" s="61"/>
      <c r="S570" s="61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</row>
    <row r="571" ht="22.5" customHeight="1">
      <c r="A571" s="157"/>
      <c r="B571" s="158"/>
      <c r="C571" s="158"/>
      <c r="D571" s="158"/>
      <c r="E571" s="159"/>
      <c r="F571" s="158"/>
      <c r="G571" s="158"/>
      <c r="H571" s="48"/>
      <c r="I571" s="48"/>
      <c r="J571" s="48"/>
      <c r="K571" s="48"/>
      <c r="L571" s="61"/>
      <c r="M571" s="61"/>
      <c r="N571" s="61"/>
      <c r="O571" s="61"/>
      <c r="P571" s="61"/>
      <c r="Q571" s="61"/>
      <c r="R571" s="61"/>
      <c r="S571" s="61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</row>
    <row r="572" ht="22.5" customHeight="1">
      <c r="A572" s="157"/>
      <c r="B572" s="158"/>
      <c r="C572" s="158"/>
      <c r="D572" s="158"/>
      <c r="E572" s="159"/>
      <c r="F572" s="158"/>
      <c r="G572" s="158"/>
      <c r="H572" s="48"/>
      <c r="I572" s="48"/>
      <c r="J572" s="48"/>
      <c r="K572" s="48"/>
      <c r="L572" s="61"/>
      <c r="M572" s="61"/>
      <c r="N572" s="61"/>
      <c r="O572" s="61"/>
      <c r="P572" s="61"/>
      <c r="Q572" s="61"/>
      <c r="R572" s="61"/>
      <c r="S572" s="61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</row>
    <row r="573" ht="22.5" customHeight="1">
      <c r="A573" s="157"/>
      <c r="B573" s="158"/>
      <c r="C573" s="158"/>
      <c r="D573" s="158"/>
      <c r="E573" s="159"/>
      <c r="F573" s="158"/>
      <c r="G573" s="158"/>
      <c r="H573" s="48"/>
      <c r="I573" s="48"/>
      <c r="J573" s="48"/>
      <c r="K573" s="48"/>
      <c r="L573" s="61"/>
      <c r="M573" s="61"/>
      <c r="N573" s="61"/>
      <c r="O573" s="61"/>
      <c r="P573" s="61"/>
      <c r="Q573" s="61"/>
      <c r="R573" s="61"/>
      <c r="S573" s="61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</row>
    <row r="574" ht="22.5" customHeight="1">
      <c r="A574" s="157"/>
      <c r="B574" s="158"/>
      <c r="C574" s="158"/>
      <c r="D574" s="158"/>
      <c r="E574" s="159"/>
      <c r="F574" s="158"/>
      <c r="G574" s="158"/>
      <c r="H574" s="48"/>
      <c r="I574" s="48"/>
      <c r="J574" s="48"/>
      <c r="K574" s="48"/>
      <c r="L574" s="61"/>
      <c r="M574" s="61"/>
      <c r="N574" s="61"/>
      <c r="O574" s="61"/>
      <c r="P574" s="61"/>
      <c r="Q574" s="61"/>
      <c r="R574" s="61"/>
      <c r="S574" s="61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</row>
    <row r="575" ht="22.5" customHeight="1">
      <c r="A575" s="157"/>
      <c r="B575" s="158"/>
      <c r="C575" s="158"/>
      <c r="D575" s="158"/>
      <c r="E575" s="159"/>
      <c r="F575" s="158"/>
      <c r="G575" s="158"/>
      <c r="H575" s="48"/>
      <c r="I575" s="48"/>
      <c r="J575" s="48"/>
      <c r="K575" s="48"/>
      <c r="L575" s="61"/>
      <c r="M575" s="61"/>
      <c r="N575" s="61"/>
      <c r="O575" s="61"/>
      <c r="P575" s="61"/>
      <c r="Q575" s="61"/>
      <c r="R575" s="61"/>
      <c r="S575" s="61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</row>
    <row r="576" ht="22.5" customHeight="1">
      <c r="A576" s="157"/>
      <c r="B576" s="158"/>
      <c r="C576" s="158"/>
      <c r="D576" s="158"/>
      <c r="E576" s="159"/>
      <c r="F576" s="158"/>
      <c r="G576" s="158"/>
      <c r="H576" s="48"/>
      <c r="I576" s="48"/>
      <c r="J576" s="48"/>
      <c r="K576" s="48"/>
      <c r="L576" s="61"/>
      <c r="M576" s="61"/>
      <c r="N576" s="61"/>
      <c r="O576" s="61"/>
      <c r="P576" s="61"/>
      <c r="Q576" s="61"/>
      <c r="R576" s="61"/>
      <c r="S576" s="61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</row>
    <row r="577" ht="22.5" customHeight="1">
      <c r="A577" s="157"/>
      <c r="B577" s="158"/>
      <c r="C577" s="158"/>
      <c r="D577" s="158"/>
      <c r="E577" s="159"/>
      <c r="F577" s="158"/>
      <c r="G577" s="158"/>
      <c r="H577" s="48"/>
      <c r="I577" s="48"/>
      <c r="J577" s="48"/>
      <c r="K577" s="48"/>
      <c r="L577" s="61"/>
      <c r="M577" s="61"/>
      <c r="N577" s="61"/>
      <c r="O577" s="61"/>
      <c r="P577" s="61"/>
      <c r="Q577" s="61"/>
      <c r="R577" s="61"/>
      <c r="S577" s="61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</row>
    <row r="578" ht="22.5" customHeight="1">
      <c r="A578" s="157"/>
      <c r="B578" s="158"/>
      <c r="C578" s="158"/>
      <c r="D578" s="158"/>
      <c r="E578" s="159"/>
      <c r="F578" s="158"/>
      <c r="G578" s="158"/>
      <c r="H578" s="48"/>
      <c r="I578" s="48"/>
      <c r="J578" s="48"/>
      <c r="K578" s="48"/>
      <c r="L578" s="61"/>
      <c r="M578" s="61"/>
      <c r="N578" s="61"/>
      <c r="O578" s="61"/>
      <c r="P578" s="61"/>
      <c r="Q578" s="61"/>
      <c r="R578" s="61"/>
      <c r="S578" s="61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</row>
    <row r="579" ht="22.5" customHeight="1">
      <c r="A579" s="157"/>
      <c r="B579" s="158"/>
      <c r="C579" s="158"/>
      <c r="D579" s="158"/>
      <c r="E579" s="159"/>
      <c r="F579" s="158"/>
      <c r="G579" s="158"/>
      <c r="H579" s="48"/>
      <c r="I579" s="48"/>
      <c r="J579" s="48"/>
      <c r="K579" s="48"/>
      <c r="L579" s="61"/>
      <c r="M579" s="61"/>
      <c r="N579" s="61"/>
      <c r="O579" s="61"/>
      <c r="P579" s="61"/>
      <c r="Q579" s="61"/>
      <c r="R579" s="61"/>
      <c r="S579" s="61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</row>
    <row r="580" ht="22.5" customHeight="1">
      <c r="A580" s="157"/>
      <c r="B580" s="158"/>
      <c r="C580" s="158"/>
      <c r="D580" s="158"/>
      <c r="E580" s="159"/>
      <c r="F580" s="158"/>
      <c r="G580" s="158"/>
      <c r="H580" s="48"/>
      <c r="I580" s="48"/>
      <c r="J580" s="48"/>
      <c r="K580" s="48"/>
      <c r="L580" s="61"/>
      <c r="M580" s="61"/>
      <c r="N580" s="61"/>
      <c r="O580" s="61"/>
      <c r="P580" s="61"/>
      <c r="Q580" s="61"/>
      <c r="R580" s="61"/>
      <c r="S580" s="61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</row>
    <row r="581" ht="22.5" customHeight="1">
      <c r="A581" s="157"/>
      <c r="B581" s="158"/>
      <c r="C581" s="158"/>
      <c r="D581" s="158"/>
      <c r="E581" s="159"/>
      <c r="F581" s="158"/>
      <c r="G581" s="158"/>
      <c r="H581" s="48"/>
      <c r="I581" s="48"/>
      <c r="J581" s="48"/>
      <c r="K581" s="48"/>
      <c r="L581" s="61"/>
      <c r="M581" s="61"/>
      <c r="N581" s="61"/>
      <c r="O581" s="61"/>
      <c r="P581" s="61"/>
      <c r="Q581" s="61"/>
      <c r="R581" s="61"/>
      <c r="S581" s="61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</row>
    <row r="582" ht="22.5" customHeight="1">
      <c r="A582" s="157"/>
      <c r="B582" s="158"/>
      <c r="C582" s="158"/>
      <c r="D582" s="158"/>
      <c r="E582" s="159"/>
      <c r="F582" s="158"/>
      <c r="G582" s="158"/>
      <c r="H582" s="48"/>
      <c r="I582" s="48"/>
      <c r="J582" s="48"/>
      <c r="K582" s="48"/>
      <c r="L582" s="61"/>
      <c r="M582" s="61"/>
      <c r="N582" s="61"/>
      <c r="O582" s="61"/>
      <c r="P582" s="61"/>
      <c r="Q582" s="61"/>
      <c r="R582" s="61"/>
      <c r="S582" s="61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</row>
    <row r="583" ht="22.5" customHeight="1">
      <c r="A583" s="157"/>
      <c r="B583" s="158"/>
      <c r="C583" s="158"/>
      <c r="D583" s="158"/>
      <c r="E583" s="159"/>
      <c r="F583" s="158"/>
      <c r="G583" s="158"/>
      <c r="H583" s="48"/>
      <c r="I583" s="48"/>
      <c r="J583" s="48"/>
      <c r="K583" s="48"/>
      <c r="L583" s="61"/>
      <c r="M583" s="61"/>
      <c r="N583" s="61"/>
      <c r="O583" s="61"/>
      <c r="P583" s="61"/>
      <c r="Q583" s="61"/>
      <c r="R583" s="61"/>
      <c r="S583" s="61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</row>
    <row r="584" ht="22.5" customHeight="1">
      <c r="A584" s="157"/>
      <c r="B584" s="158"/>
      <c r="C584" s="158"/>
      <c r="D584" s="158"/>
      <c r="E584" s="159"/>
      <c r="F584" s="158"/>
      <c r="G584" s="158"/>
      <c r="H584" s="48"/>
      <c r="I584" s="48"/>
      <c r="J584" s="48"/>
      <c r="K584" s="48"/>
      <c r="L584" s="61"/>
      <c r="M584" s="61"/>
      <c r="N584" s="61"/>
      <c r="O584" s="61"/>
      <c r="P584" s="61"/>
      <c r="Q584" s="61"/>
      <c r="R584" s="61"/>
      <c r="S584" s="61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</row>
    <row r="585" ht="22.5" customHeight="1">
      <c r="A585" s="157"/>
      <c r="B585" s="158"/>
      <c r="C585" s="158"/>
      <c r="D585" s="158"/>
      <c r="E585" s="159"/>
      <c r="F585" s="158"/>
      <c r="G585" s="158"/>
      <c r="H585" s="48"/>
      <c r="I585" s="48"/>
      <c r="J585" s="48"/>
      <c r="K585" s="48"/>
      <c r="L585" s="61"/>
      <c r="M585" s="61"/>
      <c r="N585" s="61"/>
      <c r="O585" s="61"/>
      <c r="P585" s="61"/>
      <c r="Q585" s="61"/>
      <c r="R585" s="61"/>
      <c r="S585" s="61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</row>
    <row r="586" ht="22.5" customHeight="1">
      <c r="A586" s="157"/>
      <c r="B586" s="158"/>
      <c r="C586" s="158"/>
      <c r="D586" s="158"/>
      <c r="E586" s="159"/>
      <c r="F586" s="158"/>
      <c r="G586" s="158"/>
      <c r="H586" s="48"/>
      <c r="I586" s="48"/>
      <c r="J586" s="48"/>
      <c r="K586" s="48"/>
      <c r="L586" s="61"/>
      <c r="M586" s="61"/>
      <c r="N586" s="61"/>
      <c r="O586" s="61"/>
      <c r="P586" s="61"/>
      <c r="Q586" s="61"/>
      <c r="R586" s="61"/>
      <c r="S586" s="61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</row>
    <row r="587" ht="22.5" customHeight="1">
      <c r="A587" s="157"/>
      <c r="B587" s="158"/>
      <c r="C587" s="158"/>
      <c r="D587" s="158"/>
      <c r="E587" s="159"/>
      <c r="F587" s="158"/>
      <c r="G587" s="158"/>
      <c r="H587" s="48"/>
      <c r="I587" s="48"/>
      <c r="J587" s="48"/>
      <c r="K587" s="48"/>
      <c r="L587" s="61"/>
      <c r="M587" s="61"/>
      <c r="N587" s="61"/>
      <c r="O587" s="61"/>
      <c r="P587" s="61"/>
      <c r="Q587" s="61"/>
      <c r="R587" s="61"/>
      <c r="S587" s="61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</row>
    <row r="588" ht="22.5" customHeight="1">
      <c r="A588" s="157"/>
      <c r="B588" s="158"/>
      <c r="C588" s="158"/>
      <c r="D588" s="158"/>
      <c r="E588" s="159"/>
      <c r="F588" s="158"/>
      <c r="G588" s="158"/>
      <c r="H588" s="48"/>
      <c r="I588" s="48"/>
      <c r="J588" s="48"/>
      <c r="K588" s="48"/>
      <c r="L588" s="61"/>
      <c r="M588" s="61"/>
      <c r="N588" s="61"/>
      <c r="O588" s="61"/>
      <c r="P588" s="61"/>
      <c r="Q588" s="61"/>
      <c r="R588" s="61"/>
      <c r="S588" s="61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</row>
    <row r="589" ht="22.5" customHeight="1">
      <c r="A589" s="157"/>
      <c r="B589" s="158"/>
      <c r="C589" s="158"/>
      <c r="D589" s="158"/>
      <c r="E589" s="159"/>
      <c r="F589" s="158"/>
      <c r="G589" s="158"/>
      <c r="H589" s="48"/>
      <c r="I589" s="48"/>
      <c r="J589" s="48"/>
      <c r="K589" s="48"/>
      <c r="L589" s="61"/>
      <c r="M589" s="61"/>
      <c r="N589" s="61"/>
      <c r="O589" s="61"/>
      <c r="P589" s="61"/>
      <c r="Q589" s="61"/>
      <c r="R589" s="61"/>
      <c r="S589" s="61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</row>
    <row r="590" ht="22.5" customHeight="1">
      <c r="A590" s="157"/>
      <c r="B590" s="158"/>
      <c r="C590" s="158"/>
      <c r="D590" s="158"/>
      <c r="E590" s="159"/>
      <c r="F590" s="158"/>
      <c r="G590" s="158"/>
      <c r="H590" s="48"/>
      <c r="I590" s="48"/>
      <c r="J590" s="48"/>
      <c r="K590" s="48"/>
      <c r="L590" s="61"/>
      <c r="M590" s="61"/>
      <c r="N590" s="61"/>
      <c r="O590" s="61"/>
      <c r="P590" s="61"/>
      <c r="Q590" s="61"/>
      <c r="R590" s="61"/>
      <c r="S590" s="61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</row>
    <row r="591" ht="22.5" customHeight="1">
      <c r="A591" s="157"/>
      <c r="B591" s="158"/>
      <c r="C591" s="158"/>
      <c r="D591" s="158"/>
      <c r="E591" s="159"/>
      <c r="F591" s="158"/>
      <c r="G591" s="158"/>
      <c r="H591" s="48"/>
      <c r="I591" s="48"/>
      <c r="J591" s="48"/>
      <c r="K591" s="48"/>
      <c r="L591" s="61"/>
      <c r="M591" s="61"/>
      <c r="N591" s="61"/>
      <c r="O591" s="61"/>
      <c r="P591" s="61"/>
      <c r="Q591" s="61"/>
      <c r="R591" s="61"/>
      <c r="S591" s="61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</row>
    <row r="592" ht="22.5" customHeight="1">
      <c r="A592" s="157"/>
      <c r="B592" s="158"/>
      <c r="C592" s="158"/>
      <c r="D592" s="158"/>
      <c r="E592" s="159"/>
      <c r="F592" s="158"/>
      <c r="G592" s="158"/>
      <c r="H592" s="48"/>
      <c r="I592" s="48"/>
      <c r="J592" s="48"/>
      <c r="K592" s="48"/>
      <c r="L592" s="61"/>
      <c r="M592" s="61"/>
      <c r="N592" s="61"/>
      <c r="O592" s="61"/>
      <c r="P592" s="61"/>
      <c r="Q592" s="61"/>
      <c r="R592" s="61"/>
      <c r="S592" s="61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</row>
    <row r="593" ht="22.5" customHeight="1">
      <c r="A593" s="157"/>
      <c r="B593" s="158"/>
      <c r="C593" s="158"/>
      <c r="D593" s="158"/>
      <c r="E593" s="159"/>
      <c r="F593" s="158"/>
      <c r="G593" s="158"/>
      <c r="H593" s="48"/>
      <c r="I593" s="48"/>
      <c r="J593" s="48"/>
      <c r="K593" s="48"/>
      <c r="L593" s="61"/>
      <c r="M593" s="61"/>
      <c r="N593" s="61"/>
      <c r="O593" s="61"/>
      <c r="P593" s="61"/>
      <c r="Q593" s="61"/>
      <c r="R593" s="61"/>
      <c r="S593" s="61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</row>
    <row r="594" ht="22.5" customHeight="1">
      <c r="A594" s="157"/>
      <c r="B594" s="158"/>
      <c r="C594" s="158"/>
      <c r="D594" s="158"/>
      <c r="E594" s="159"/>
      <c r="F594" s="158"/>
      <c r="G594" s="158"/>
      <c r="H594" s="48"/>
      <c r="I594" s="48"/>
      <c r="J594" s="48"/>
      <c r="K594" s="48"/>
      <c r="L594" s="61"/>
      <c r="M594" s="61"/>
      <c r="N594" s="61"/>
      <c r="O594" s="61"/>
      <c r="P594" s="61"/>
      <c r="Q594" s="61"/>
      <c r="R594" s="61"/>
      <c r="S594" s="61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</row>
    <row r="595" ht="22.5" customHeight="1">
      <c r="A595" s="157"/>
      <c r="B595" s="158"/>
      <c r="C595" s="158"/>
      <c r="D595" s="158"/>
      <c r="E595" s="159"/>
      <c r="F595" s="158"/>
      <c r="G595" s="158"/>
      <c r="H595" s="48"/>
      <c r="I595" s="48"/>
      <c r="J595" s="48"/>
      <c r="K595" s="48"/>
      <c r="L595" s="61"/>
      <c r="M595" s="61"/>
      <c r="N595" s="61"/>
      <c r="O595" s="61"/>
      <c r="P595" s="61"/>
      <c r="Q595" s="61"/>
      <c r="R595" s="61"/>
      <c r="S595" s="61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</row>
    <row r="596" ht="22.5" customHeight="1">
      <c r="A596" s="157"/>
      <c r="B596" s="158"/>
      <c r="C596" s="158"/>
      <c r="D596" s="158"/>
      <c r="E596" s="159"/>
      <c r="F596" s="158"/>
      <c r="G596" s="158"/>
      <c r="H596" s="48"/>
      <c r="I596" s="48"/>
      <c r="J596" s="48"/>
      <c r="K596" s="48"/>
      <c r="L596" s="61"/>
      <c r="M596" s="61"/>
      <c r="N596" s="61"/>
      <c r="O596" s="61"/>
      <c r="P596" s="61"/>
      <c r="Q596" s="61"/>
      <c r="R596" s="61"/>
      <c r="S596" s="61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</row>
    <row r="597" ht="22.5" customHeight="1">
      <c r="A597" s="157"/>
      <c r="B597" s="158"/>
      <c r="C597" s="158"/>
      <c r="D597" s="158"/>
      <c r="E597" s="159"/>
      <c r="F597" s="158"/>
      <c r="G597" s="158"/>
      <c r="H597" s="48"/>
      <c r="I597" s="48"/>
      <c r="J597" s="48"/>
      <c r="K597" s="48"/>
      <c r="L597" s="61"/>
      <c r="M597" s="61"/>
      <c r="N597" s="61"/>
      <c r="O597" s="61"/>
      <c r="P597" s="61"/>
      <c r="Q597" s="61"/>
      <c r="R597" s="61"/>
      <c r="S597" s="61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</row>
    <row r="598" ht="22.5" customHeight="1">
      <c r="A598" s="157"/>
      <c r="B598" s="158"/>
      <c r="C598" s="158"/>
      <c r="D598" s="158"/>
      <c r="E598" s="159"/>
      <c r="F598" s="158"/>
      <c r="G598" s="158"/>
      <c r="H598" s="48"/>
      <c r="I598" s="48"/>
      <c r="J598" s="48"/>
      <c r="K598" s="48"/>
      <c r="L598" s="61"/>
      <c r="M598" s="61"/>
      <c r="N598" s="61"/>
      <c r="O598" s="61"/>
      <c r="P598" s="61"/>
      <c r="Q598" s="61"/>
      <c r="R598" s="61"/>
      <c r="S598" s="61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</row>
    <row r="599" ht="22.5" customHeight="1">
      <c r="A599" s="157"/>
      <c r="B599" s="158"/>
      <c r="C599" s="158"/>
      <c r="D599" s="158"/>
      <c r="E599" s="159"/>
      <c r="F599" s="158"/>
      <c r="G599" s="158"/>
      <c r="H599" s="48"/>
      <c r="I599" s="48"/>
      <c r="J599" s="48"/>
      <c r="K599" s="48"/>
      <c r="L599" s="61"/>
      <c r="M599" s="61"/>
      <c r="N599" s="61"/>
      <c r="O599" s="61"/>
      <c r="P599" s="61"/>
      <c r="Q599" s="61"/>
      <c r="R599" s="61"/>
      <c r="S599" s="61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</row>
    <row r="600" ht="22.5" customHeight="1">
      <c r="A600" s="157"/>
      <c r="B600" s="158"/>
      <c r="C600" s="158"/>
      <c r="D600" s="158"/>
      <c r="E600" s="159"/>
      <c r="F600" s="158"/>
      <c r="G600" s="158"/>
      <c r="H600" s="48"/>
      <c r="I600" s="48"/>
      <c r="J600" s="48"/>
      <c r="K600" s="48"/>
      <c r="L600" s="61"/>
      <c r="M600" s="61"/>
      <c r="N600" s="61"/>
      <c r="O600" s="61"/>
      <c r="P600" s="61"/>
      <c r="Q600" s="61"/>
      <c r="R600" s="61"/>
      <c r="S600" s="61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</row>
    <row r="601" ht="22.5" customHeight="1">
      <c r="A601" s="157"/>
      <c r="B601" s="158"/>
      <c r="C601" s="158"/>
      <c r="D601" s="158"/>
      <c r="E601" s="159"/>
      <c r="F601" s="158"/>
      <c r="G601" s="158"/>
      <c r="H601" s="48"/>
      <c r="I601" s="48"/>
      <c r="J601" s="48"/>
      <c r="K601" s="48"/>
      <c r="L601" s="61"/>
      <c r="M601" s="61"/>
      <c r="N601" s="61"/>
      <c r="O601" s="61"/>
      <c r="P601" s="61"/>
      <c r="Q601" s="61"/>
      <c r="R601" s="61"/>
      <c r="S601" s="61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</row>
    <row r="602" ht="22.5" customHeight="1">
      <c r="A602" s="157"/>
      <c r="B602" s="158"/>
      <c r="C602" s="158"/>
      <c r="D602" s="158"/>
      <c r="E602" s="159"/>
      <c r="F602" s="158"/>
      <c r="G602" s="158"/>
      <c r="H602" s="48"/>
      <c r="I602" s="48"/>
      <c r="J602" s="48"/>
      <c r="K602" s="48"/>
      <c r="L602" s="61"/>
      <c r="M602" s="61"/>
      <c r="N602" s="61"/>
      <c r="O602" s="61"/>
      <c r="P602" s="61"/>
      <c r="Q602" s="61"/>
      <c r="R602" s="61"/>
      <c r="S602" s="61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</row>
    <row r="603" ht="22.5" customHeight="1">
      <c r="A603" s="157"/>
      <c r="B603" s="158"/>
      <c r="C603" s="158"/>
      <c r="D603" s="158"/>
      <c r="E603" s="159"/>
      <c r="F603" s="158"/>
      <c r="G603" s="158"/>
      <c r="H603" s="48"/>
      <c r="I603" s="48"/>
      <c r="J603" s="48"/>
      <c r="K603" s="48"/>
      <c r="L603" s="61"/>
      <c r="M603" s="61"/>
      <c r="N603" s="61"/>
      <c r="O603" s="61"/>
      <c r="P603" s="61"/>
      <c r="Q603" s="61"/>
      <c r="R603" s="61"/>
      <c r="S603" s="61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</row>
    <row r="604" ht="22.5" customHeight="1">
      <c r="A604" s="157"/>
      <c r="B604" s="158"/>
      <c r="C604" s="158"/>
      <c r="D604" s="158"/>
      <c r="E604" s="159"/>
      <c r="F604" s="158"/>
      <c r="G604" s="158"/>
      <c r="H604" s="48"/>
      <c r="I604" s="48"/>
      <c r="J604" s="48"/>
      <c r="K604" s="48"/>
      <c r="L604" s="61"/>
      <c r="M604" s="61"/>
      <c r="N604" s="61"/>
      <c r="O604" s="61"/>
      <c r="P604" s="61"/>
      <c r="Q604" s="61"/>
      <c r="R604" s="61"/>
      <c r="S604" s="61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</row>
    <row r="605" ht="22.5" customHeight="1">
      <c r="A605" s="157"/>
      <c r="B605" s="158"/>
      <c r="C605" s="158"/>
      <c r="D605" s="158"/>
      <c r="E605" s="159"/>
      <c r="F605" s="158"/>
      <c r="G605" s="158"/>
      <c r="H605" s="48"/>
      <c r="I605" s="48"/>
      <c r="J605" s="48"/>
      <c r="K605" s="48"/>
      <c r="L605" s="61"/>
      <c r="M605" s="61"/>
      <c r="N605" s="61"/>
      <c r="O605" s="61"/>
      <c r="P605" s="61"/>
      <c r="Q605" s="61"/>
      <c r="R605" s="61"/>
      <c r="S605" s="61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</row>
    <row r="606" ht="22.5" customHeight="1">
      <c r="A606" s="157"/>
      <c r="B606" s="158"/>
      <c r="C606" s="158"/>
      <c r="D606" s="158"/>
      <c r="E606" s="159"/>
      <c r="F606" s="158"/>
      <c r="G606" s="158"/>
      <c r="H606" s="48"/>
      <c r="I606" s="48"/>
      <c r="J606" s="48"/>
      <c r="K606" s="48"/>
      <c r="L606" s="61"/>
      <c r="M606" s="61"/>
      <c r="N606" s="61"/>
      <c r="O606" s="61"/>
      <c r="P606" s="61"/>
      <c r="Q606" s="61"/>
      <c r="R606" s="61"/>
      <c r="S606" s="61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</row>
    <row r="607" ht="22.5" customHeight="1">
      <c r="A607" s="157"/>
      <c r="B607" s="158"/>
      <c r="C607" s="158"/>
      <c r="D607" s="158"/>
      <c r="E607" s="159"/>
      <c r="F607" s="158"/>
      <c r="G607" s="158"/>
      <c r="H607" s="48"/>
      <c r="I607" s="48"/>
      <c r="J607" s="48"/>
      <c r="K607" s="48"/>
      <c r="L607" s="61"/>
      <c r="M607" s="61"/>
      <c r="N607" s="61"/>
      <c r="O607" s="61"/>
      <c r="P607" s="61"/>
      <c r="Q607" s="61"/>
      <c r="R607" s="61"/>
      <c r="S607" s="61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</row>
    <row r="608" ht="22.5" customHeight="1">
      <c r="A608" s="157"/>
      <c r="B608" s="158"/>
      <c r="C608" s="158"/>
      <c r="D608" s="158"/>
      <c r="E608" s="159"/>
      <c r="F608" s="158"/>
      <c r="G608" s="158"/>
      <c r="H608" s="48"/>
      <c r="I608" s="48"/>
      <c r="J608" s="48"/>
      <c r="K608" s="48"/>
      <c r="L608" s="61"/>
      <c r="M608" s="61"/>
      <c r="N608" s="61"/>
      <c r="O608" s="61"/>
      <c r="P608" s="61"/>
      <c r="Q608" s="61"/>
      <c r="R608" s="61"/>
      <c r="S608" s="61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</row>
    <row r="609" ht="22.5" customHeight="1">
      <c r="A609" s="157"/>
      <c r="B609" s="158"/>
      <c r="C609" s="158"/>
      <c r="D609" s="158"/>
      <c r="E609" s="159"/>
      <c r="F609" s="158"/>
      <c r="G609" s="158"/>
      <c r="H609" s="48"/>
      <c r="I609" s="48"/>
      <c r="J609" s="48"/>
      <c r="K609" s="48"/>
      <c r="L609" s="61"/>
      <c r="M609" s="61"/>
      <c r="N609" s="61"/>
      <c r="O609" s="61"/>
      <c r="P609" s="61"/>
      <c r="Q609" s="61"/>
      <c r="R609" s="61"/>
      <c r="S609" s="61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</row>
    <row r="610" ht="22.5" customHeight="1">
      <c r="A610" s="157"/>
      <c r="B610" s="158"/>
      <c r="C610" s="158"/>
      <c r="D610" s="158"/>
      <c r="E610" s="159"/>
      <c r="F610" s="158"/>
      <c r="G610" s="158"/>
      <c r="H610" s="48"/>
      <c r="I610" s="48"/>
      <c r="J610" s="48"/>
      <c r="K610" s="48"/>
      <c r="L610" s="61"/>
      <c r="M610" s="61"/>
      <c r="N610" s="61"/>
      <c r="O610" s="61"/>
      <c r="P610" s="61"/>
      <c r="Q610" s="61"/>
      <c r="R610" s="61"/>
      <c r="S610" s="61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</row>
    <row r="611" ht="22.5" customHeight="1">
      <c r="A611" s="157"/>
      <c r="B611" s="158"/>
      <c r="C611" s="158"/>
      <c r="D611" s="158"/>
      <c r="E611" s="159"/>
      <c r="F611" s="158"/>
      <c r="G611" s="158"/>
      <c r="H611" s="48"/>
      <c r="I611" s="48"/>
      <c r="J611" s="48"/>
      <c r="K611" s="48"/>
      <c r="L611" s="61"/>
      <c r="M611" s="61"/>
      <c r="N611" s="61"/>
      <c r="O611" s="61"/>
      <c r="P611" s="61"/>
      <c r="Q611" s="61"/>
      <c r="R611" s="61"/>
      <c r="S611" s="61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</row>
    <row r="612" ht="22.5" customHeight="1">
      <c r="A612" s="157"/>
      <c r="B612" s="158"/>
      <c r="C612" s="158"/>
      <c r="D612" s="158"/>
      <c r="E612" s="159"/>
      <c r="F612" s="158"/>
      <c r="G612" s="158"/>
      <c r="H612" s="48"/>
      <c r="I612" s="48"/>
      <c r="J612" s="48"/>
      <c r="K612" s="48"/>
      <c r="L612" s="61"/>
      <c r="M612" s="61"/>
      <c r="N612" s="61"/>
      <c r="O612" s="61"/>
      <c r="P612" s="61"/>
      <c r="Q612" s="61"/>
      <c r="R612" s="61"/>
      <c r="S612" s="61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</row>
    <row r="613" ht="22.5" customHeight="1">
      <c r="A613" s="157"/>
      <c r="B613" s="158"/>
      <c r="C613" s="158"/>
      <c r="D613" s="158"/>
      <c r="E613" s="159"/>
      <c r="F613" s="158"/>
      <c r="G613" s="158"/>
      <c r="H613" s="48"/>
      <c r="I613" s="48"/>
      <c r="J613" s="48"/>
      <c r="K613" s="48"/>
      <c r="L613" s="61"/>
      <c r="M613" s="61"/>
      <c r="N613" s="61"/>
      <c r="O613" s="61"/>
      <c r="P613" s="61"/>
      <c r="Q613" s="61"/>
      <c r="R613" s="61"/>
      <c r="S613" s="61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</row>
    <row r="614" ht="22.5" customHeight="1">
      <c r="A614" s="157"/>
      <c r="B614" s="158"/>
      <c r="C614" s="158"/>
      <c r="D614" s="158"/>
      <c r="E614" s="159"/>
      <c r="F614" s="158"/>
      <c r="G614" s="158"/>
      <c r="H614" s="48"/>
      <c r="I614" s="48"/>
      <c r="J614" s="48"/>
      <c r="K614" s="48"/>
      <c r="L614" s="61"/>
      <c r="M614" s="61"/>
      <c r="N614" s="61"/>
      <c r="O614" s="61"/>
      <c r="P614" s="61"/>
      <c r="Q614" s="61"/>
      <c r="R614" s="61"/>
      <c r="S614" s="61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</row>
    <row r="615" ht="22.5" customHeight="1">
      <c r="A615" s="157"/>
      <c r="B615" s="158"/>
      <c r="C615" s="158"/>
      <c r="D615" s="158"/>
      <c r="E615" s="159"/>
      <c r="F615" s="158"/>
      <c r="G615" s="158"/>
      <c r="H615" s="48"/>
      <c r="I615" s="48"/>
      <c r="J615" s="48"/>
      <c r="K615" s="48"/>
      <c r="L615" s="61"/>
      <c r="M615" s="61"/>
      <c r="N615" s="61"/>
      <c r="O615" s="61"/>
      <c r="P615" s="61"/>
      <c r="Q615" s="61"/>
      <c r="R615" s="61"/>
      <c r="S615" s="61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</row>
    <row r="616" ht="22.5" customHeight="1">
      <c r="A616" s="157"/>
      <c r="B616" s="158"/>
      <c r="C616" s="158"/>
      <c r="D616" s="158"/>
      <c r="E616" s="159"/>
      <c r="F616" s="158"/>
      <c r="G616" s="158"/>
      <c r="H616" s="48"/>
      <c r="I616" s="48"/>
      <c r="J616" s="48"/>
      <c r="K616" s="48"/>
      <c r="L616" s="61"/>
      <c r="M616" s="61"/>
      <c r="N616" s="61"/>
      <c r="O616" s="61"/>
      <c r="P616" s="61"/>
      <c r="Q616" s="61"/>
      <c r="R616" s="61"/>
      <c r="S616" s="61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</row>
    <row r="617" ht="22.5" customHeight="1">
      <c r="A617" s="157"/>
      <c r="B617" s="158"/>
      <c r="C617" s="158"/>
      <c r="D617" s="158"/>
      <c r="E617" s="159"/>
      <c r="F617" s="158"/>
      <c r="G617" s="158"/>
      <c r="H617" s="48"/>
      <c r="I617" s="48"/>
      <c r="J617" s="48"/>
      <c r="K617" s="48"/>
      <c r="L617" s="61"/>
      <c r="M617" s="61"/>
      <c r="N617" s="61"/>
      <c r="O617" s="61"/>
      <c r="P617" s="61"/>
      <c r="Q617" s="61"/>
      <c r="R617" s="61"/>
      <c r="S617" s="61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</row>
    <row r="618" ht="22.5" customHeight="1">
      <c r="A618" s="157"/>
      <c r="B618" s="158"/>
      <c r="C618" s="158"/>
      <c r="D618" s="158"/>
      <c r="E618" s="159"/>
      <c r="F618" s="158"/>
      <c r="G618" s="158"/>
      <c r="H618" s="48"/>
      <c r="I618" s="48"/>
      <c r="J618" s="48"/>
      <c r="K618" s="48"/>
      <c r="L618" s="61"/>
      <c r="M618" s="61"/>
      <c r="N618" s="61"/>
      <c r="O618" s="61"/>
      <c r="P618" s="61"/>
      <c r="Q618" s="61"/>
      <c r="R618" s="61"/>
      <c r="S618" s="61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</row>
    <row r="619" ht="22.5" customHeight="1">
      <c r="A619" s="157"/>
      <c r="B619" s="158"/>
      <c r="C619" s="158"/>
      <c r="D619" s="158"/>
      <c r="E619" s="159"/>
      <c r="F619" s="158"/>
      <c r="G619" s="158"/>
      <c r="H619" s="48"/>
      <c r="I619" s="48"/>
      <c r="J619" s="48"/>
      <c r="K619" s="48"/>
      <c r="L619" s="61"/>
      <c r="M619" s="61"/>
      <c r="N619" s="61"/>
      <c r="O619" s="61"/>
      <c r="P619" s="61"/>
      <c r="Q619" s="61"/>
      <c r="R619" s="61"/>
      <c r="S619" s="61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</row>
    <row r="620" ht="22.5" customHeight="1">
      <c r="A620" s="157"/>
      <c r="B620" s="158"/>
      <c r="C620" s="158"/>
      <c r="D620" s="158"/>
      <c r="E620" s="159"/>
      <c r="F620" s="158"/>
      <c r="G620" s="158"/>
      <c r="H620" s="48"/>
      <c r="I620" s="48"/>
      <c r="J620" s="48"/>
      <c r="K620" s="48"/>
      <c r="L620" s="61"/>
      <c r="M620" s="61"/>
      <c r="N620" s="61"/>
      <c r="O620" s="61"/>
      <c r="P620" s="61"/>
      <c r="Q620" s="61"/>
      <c r="R620" s="61"/>
      <c r="S620" s="61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</row>
    <row r="621" ht="22.5" customHeight="1">
      <c r="A621" s="157"/>
      <c r="B621" s="158"/>
      <c r="C621" s="158"/>
      <c r="D621" s="158"/>
      <c r="E621" s="159"/>
      <c r="F621" s="158"/>
      <c r="G621" s="158"/>
      <c r="H621" s="48"/>
      <c r="I621" s="48"/>
      <c r="J621" s="48"/>
      <c r="K621" s="48"/>
      <c r="L621" s="61"/>
      <c r="M621" s="61"/>
      <c r="N621" s="61"/>
      <c r="O621" s="61"/>
      <c r="P621" s="61"/>
      <c r="Q621" s="61"/>
      <c r="R621" s="61"/>
      <c r="S621" s="61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</row>
    <row r="622" ht="22.5" customHeight="1">
      <c r="A622" s="157"/>
      <c r="B622" s="158"/>
      <c r="C622" s="158"/>
      <c r="D622" s="158"/>
      <c r="E622" s="159"/>
      <c r="F622" s="158"/>
      <c r="G622" s="158"/>
      <c r="H622" s="48"/>
      <c r="I622" s="48"/>
      <c r="J622" s="48"/>
      <c r="K622" s="48"/>
      <c r="L622" s="61"/>
      <c r="M622" s="61"/>
      <c r="N622" s="61"/>
      <c r="O622" s="61"/>
      <c r="P622" s="61"/>
      <c r="Q622" s="61"/>
      <c r="R622" s="61"/>
      <c r="S622" s="61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</row>
    <row r="623" ht="22.5" customHeight="1">
      <c r="A623" s="157"/>
      <c r="B623" s="158"/>
      <c r="C623" s="158"/>
      <c r="D623" s="158"/>
      <c r="E623" s="159"/>
      <c r="F623" s="158"/>
      <c r="G623" s="158"/>
      <c r="H623" s="48"/>
      <c r="I623" s="48"/>
      <c r="J623" s="48"/>
      <c r="K623" s="48"/>
      <c r="L623" s="61"/>
      <c r="M623" s="61"/>
      <c r="N623" s="61"/>
      <c r="O623" s="61"/>
      <c r="P623" s="61"/>
      <c r="Q623" s="61"/>
      <c r="R623" s="61"/>
      <c r="S623" s="61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</row>
    <row r="624" ht="22.5" customHeight="1">
      <c r="A624" s="157"/>
      <c r="B624" s="158"/>
      <c r="C624" s="158"/>
      <c r="D624" s="158"/>
      <c r="E624" s="159"/>
      <c r="F624" s="158"/>
      <c r="G624" s="158"/>
      <c r="H624" s="48"/>
      <c r="I624" s="48"/>
      <c r="J624" s="48"/>
      <c r="K624" s="48"/>
      <c r="L624" s="61"/>
      <c r="M624" s="61"/>
      <c r="N624" s="61"/>
      <c r="O624" s="61"/>
      <c r="P624" s="61"/>
      <c r="Q624" s="61"/>
      <c r="R624" s="61"/>
      <c r="S624" s="61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</row>
    <row r="625" ht="22.5" customHeight="1">
      <c r="A625" s="157"/>
      <c r="B625" s="158"/>
      <c r="C625" s="158"/>
      <c r="D625" s="158"/>
      <c r="E625" s="159"/>
      <c r="F625" s="158"/>
      <c r="G625" s="158"/>
      <c r="H625" s="48"/>
      <c r="I625" s="48"/>
      <c r="J625" s="48"/>
      <c r="K625" s="48"/>
      <c r="L625" s="61"/>
      <c r="M625" s="61"/>
      <c r="N625" s="61"/>
      <c r="O625" s="61"/>
      <c r="P625" s="61"/>
      <c r="Q625" s="61"/>
      <c r="R625" s="61"/>
      <c r="S625" s="61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</row>
    <row r="626" ht="22.5" customHeight="1">
      <c r="A626" s="157"/>
      <c r="B626" s="158"/>
      <c r="C626" s="158"/>
      <c r="D626" s="158"/>
      <c r="E626" s="159"/>
      <c r="F626" s="158"/>
      <c r="G626" s="158"/>
      <c r="H626" s="48"/>
      <c r="I626" s="48"/>
      <c r="J626" s="48"/>
      <c r="K626" s="48"/>
      <c r="L626" s="61"/>
      <c r="M626" s="61"/>
      <c r="N626" s="61"/>
      <c r="O626" s="61"/>
      <c r="P626" s="61"/>
      <c r="Q626" s="61"/>
      <c r="R626" s="61"/>
      <c r="S626" s="61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</row>
    <row r="627" ht="22.5" customHeight="1">
      <c r="A627" s="157"/>
      <c r="B627" s="158"/>
      <c r="C627" s="158"/>
      <c r="D627" s="158"/>
      <c r="E627" s="159"/>
      <c r="F627" s="158"/>
      <c r="G627" s="158"/>
      <c r="H627" s="48"/>
      <c r="I627" s="48"/>
      <c r="J627" s="48"/>
      <c r="K627" s="48"/>
      <c r="L627" s="61"/>
      <c r="M627" s="61"/>
      <c r="N627" s="61"/>
      <c r="O627" s="61"/>
      <c r="P627" s="61"/>
      <c r="Q627" s="61"/>
      <c r="R627" s="61"/>
      <c r="S627" s="61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</row>
    <row r="628" ht="22.5" customHeight="1">
      <c r="A628" s="157"/>
      <c r="B628" s="158"/>
      <c r="C628" s="158"/>
      <c r="D628" s="158"/>
      <c r="E628" s="159"/>
      <c r="F628" s="158"/>
      <c r="G628" s="158"/>
      <c r="H628" s="48"/>
      <c r="I628" s="48"/>
      <c r="J628" s="48"/>
      <c r="K628" s="48"/>
      <c r="L628" s="61"/>
      <c r="M628" s="61"/>
      <c r="N628" s="61"/>
      <c r="O628" s="61"/>
      <c r="P628" s="61"/>
      <c r="Q628" s="61"/>
      <c r="R628" s="61"/>
      <c r="S628" s="61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</row>
    <row r="629" ht="22.5" customHeight="1">
      <c r="A629" s="157"/>
      <c r="B629" s="158"/>
      <c r="C629" s="158"/>
      <c r="D629" s="158"/>
      <c r="E629" s="159"/>
      <c r="F629" s="158"/>
      <c r="G629" s="158"/>
      <c r="H629" s="48"/>
      <c r="I629" s="48"/>
      <c r="J629" s="48"/>
      <c r="K629" s="48"/>
      <c r="L629" s="61"/>
      <c r="M629" s="61"/>
      <c r="N629" s="61"/>
      <c r="O629" s="61"/>
      <c r="P629" s="61"/>
      <c r="Q629" s="61"/>
      <c r="R629" s="61"/>
      <c r="S629" s="61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</row>
    <row r="630" ht="22.5" customHeight="1">
      <c r="A630" s="157"/>
      <c r="B630" s="158"/>
      <c r="C630" s="158"/>
      <c r="D630" s="158"/>
      <c r="E630" s="159"/>
      <c r="F630" s="158"/>
      <c r="G630" s="158"/>
      <c r="H630" s="135"/>
      <c r="I630" s="135"/>
      <c r="J630" s="135"/>
      <c r="K630" s="135"/>
      <c r="L630" s="158"/>
      <c r="M630" s="158"/>
      <c r="N630" s="158"/>
      <c r="O630" s="158"/>
      <c r="P630" s="158"/>
      <c r="Q630" s="158"/>
      <c r="R630" s="158"/>
      <c r="S630" s="158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</row>
    <row r="631" ht="22.5" customHeight="1">
      <c r="A631" s="157"/>
      <c r="B631" s="158"/>
      <c r="C631" s="158"/>
      <c r="D631" s="158"/>
      <c r="E631" s="159"/>
      <c r="F631" s="158"/>
      <c r="G631" s="158"/>
      <c r="H631" s="135"/>
      <c r="I631" s="135"/>
      <c r="J631" s="135"/>
      <c r="K631" s="135"/>
      <c r="L631" s="158"/>
      <c r="M631" s="158"/>
      <c r="N631" s="158"/>
      <c r="O631" s="158"/>
      <c r="P631" s="158"/>
      <c r="Q631" s="158"/>
      <c r="R631" s="158"/>
      <c r="S631" s="158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</row>
    <row r="632" ht="22.5" customHeight="1">
      <c r="A632" s="157"/>
      <c r="B632" s="158"/>
      <c r="C632" s="158"/>
      <c r="D632" s="158"/>
      <c r="E632" s="159"/>
      <c r="F632" s="158"/>
      <c r="G632" s="158"/>
      <c r="H632" s="135"/>
      <c r="I632" s="135"/>
      <c r="J632" s="135"/>
      <c r="K632" s="135"/>
      <c r="L632" s="158"/>
      <c r="M632" s="158"/>
      <c r="N632" s="158"/>
      <c r="O632" s="158"/>
      <c r="P632" s="158"/>
      <c r="Q632" s="158"/>
      <c r="R632" s="158"/>
      <c r="S632" s="158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</row>
    <row r="633" ht="22.5" customHeight="1">
      <c r="A633" s="157"/>
      <c r="B633" s="158"/>
      <c r="C633" s="158"/>
      <c r="D633" s="158"/>
      <c r="E633" s="159"/>
      <c r="F633" s="158"/>
      <c r="G633" s="158"/>
      <c r="H633" s="135"/>
      <c r="I633" s="135"/>
      <c r="J633" s="135"/>
      <c r="K633" s="135"/>
      <c r="L633" s="158"/>
      <c r="M633" s="158"/>
      <c r="N633" s="158"/>
      <c r="O633" s="158"/>
      <c r="P633" s="158"/>
      <c r="Q633" s="158"/>
      <c r="R633" s="158"/>
      <c r="S633" s="158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</row>
    <row r="634" ht="22.5" customHeight="1">
      <c r="A634" s="157"/>
      <c r="B634" s="158"/>
      <c r="C634" s="158"/>
      <c r="D634" s="158"/>
      <c r="E634" s="159"/>
      <c r="F634" s="158"/>
      <c r="G634" s="158"/>
      <c r="H634" s="135"/>
      <c r="I634" s="135"/>
      <c r="J634" s="135"/>
      <c r="K634" s="135"/>
      <c r="L634" s="158"/>
      <c r="M634" s="158"/>
      <c r="N634" s="158"/>
      <c r="O634" s="158"/>
      <c r="P634" s="158"/>
      <c r="Q634" s="158"/>
      <c r="R634" s="158"/>
      <c r="S634" s="158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</row>
    <row r="635" ht="22.5" customHeight="1">
      <c r="A635" s="157"/>
      <c r="B635" s="158"/>
      <c r="C635" s="158"/>
      <c r="D635" s="158"/>
      <c r="E635" s="159"/>
      <c r="F635" s="158"/>
      <c r="G635" s="158"/>
      <c r="H635" s="135"/>
      <c r="I635" s="135"/>
      <c r="J635" s="135"/>
      <c r="K635" s="135"/>
      <c r="L635" s="158"/>
      <c r="M635" s="158"/>
      <c r="N635" s="158"/>
      <c r="O635" s="158"/>
      <c r="P635" s="158"/>
      <c r="Q635" s="158"/>
      <c r="R635" s="158"/>
      <c r="S635" s="158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</row>
    <row r="636" ht="22.5" customHeight="1">
      <c r="A636" s="157"/>
      <c r="B636" s="158"/>
      <c r="C636" s="158"/>
      <c r="D636" s="158"/>
      <c r="E636" s="159"/>
      <c r="F636" s="158"/>
      <c r="G636" s="158"/>
      <c r="H636" s="135"/>
      <c r="I636" s="135"/>
      <c r="J636" s="135"/>
      <c r="K636" s="135"/>
      <c r="L636" s="158"/>
      <c r="M636" s="158"/>
      <c r="N636" s="158"/>
      <c r="O636" s="158"/>
      <c r="P636" s="158"/>
      <c r="Q636" s="158"/>
      <c r="R636" s="158"/>
      <c r="S636" s="158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</row>
    <row r="637" ht="22.5" customHeight="1">
      <c r="A637" s="157"/>
      <c r="B637" s="158"/>
      <c r="C637" s="158"/>
      <c r="D637" s="158"/>
      <c r="E637" s="159"/>
      <c r="F637" s="158"/>
      <c r="G637" s="158"/>
      <c r="H637" s="135"/>
      <c r="I637" s="135"/>
      <c r="J637" s="135"/>
      <c r="K637" s="135"/>
      <c r="L637" s="158"/>
      <c r="M637" s="158"/>
      <c r="N637" s="158"/>
      <c r="O637" s="158"/>
      <c r="P637" s="158"/>
      <c r="Q637" s="158"/>
      <c r="R637" s="158"/>
      <c r="S637" s="158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</row>
    <row r="638" ht="22.5" customHeight="1">
      <c r="A638" s="157"/>
      <c r="B638" s="158"/>
      <c r="C638" s="158"/>
      <c r="D638" s="158"/>
      <c r="E638" s="159"/>
      <c r="F638" s="158"/>
      <c r="G638" s="158"/>
      <c r="H638" s="135"/>
      <c r="I638" s="135"/>
      <c r="J638" s="135"/>
      <c r="K638" s="135"/>
      <c r="L638" s="158"/>
      <c r="M638" s="158"/>
      <c r="N638" s="158"/>
      <c r="O638" s="158"/>
      <c r="P638" s="158"/>
      <c r="Q638" s="158"/>
      <c r="R638" s="158"/>
      <c r="S638" s="158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</row>
    <row r="639" ht="22.5" customHeight="1">
      <c r="A639" s="157"/>
      <c r="B639" s="158"/>
      <c r="C639" s="158"/>
      <c r="D639" s="158"/>
      <c r="E639" s="159"/>
      <c r="F639" s="158"/>
      <c r="G639" s="158"/>
      <c r="H639" s="135"/>
      <c r="I639" s="135"/>
      <c r="J639" s="135"/>
      <c r="K639" s="135"/>
      <c r="L639" s="158"/>
      <c r="M639" s="158"/>
      <c r="N639" s="158"/>
      <c r="O639" s="158"/>
      <c r="P639" s="158"/>
      <c r="Q639" s="158"/>
      <c r="R639" s="158"/>
      <c r="S639" s="158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</row>
    <row r="640" ht="22.5" customHeight="1">
      <c r="A640" s="157"/>
      <c r="B640" s="158"/>
      <c r="C640" s="158"/>
      <c r="D640" s="158"/>
      <c r="E640" s="159"/>
      <c r="F640" s="158"/>
      <c r="G640" s="158"/>
      <c r="H640" s="135"/>
      <c r="I640" s="135"/>
      <c r="J640" s="135"/>
      <c r="K640" s="135"/>
      <c r="L640" s="158"/>
      <c r="M640" s="158"/>
      <c r="N640" s="158"/>
      <c r="O640" s="158"/>
      <c r="P640" s="158"/>
      <c r="Q640" s="158"/>
      <c r="R640" s="158"/>
      <c r="S640" s="158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</row>
    <row r="641" ht="22.5" customHeight="1">
      <c r="A641" s="157"/>
      <c r="B641" s="158"/>
      <c r="C641" s="158"/>
      <c r="D641" s="158"/>
      <c r="E641" s="159"/>
      <c r="F641" s="158"/>
      <c r="G641" s="158"/>
      <c r="H641" s="135"/>
      <c r="I641" s="135"/>
      <c r="J641" s="135"/>
      <c r="K641" s="135"/>
      <c r="L641" s="158"/>
      <c r="M641" s="158"/>
      <c r="N641" s="158"/>
      <c r="O641" s="158"/>
      <c r="P641" s="158"/>
      <c r="Q641" s="158"/>
      <c r="R641" s="158"/>
      <c r="S641" s="158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</row>
    <row r="642" ht="22.5" customHeight="1">
      <c r="A642" s="157"/>
      <c r="B642" s="158"/>
      <c r="C642" s="158"/>
      <c r="D642" s="158"/>
      <c r="E642" s="159"/>
      <c r="F642" s="158"/>
      <c r="G642" s="158"/>
      <c r="H642" s="135"/>
      <c r="I642" s="135"/>
      <c r="J642" s="135"/>
      <c r="K642" s="135"/>
      <c r="L642" s="158"/>
      <c r="M642" s="158"/>
      <c r="N642" s="158"/>
      <c r="O642" s="158"/>
      <c r="P642" s="158"/>
      <c r="Q642" s="158"/>
      <c r="R642" s="158"/>
      <c r="S642" s="158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</row>
    <row r="643" ht="22.5" customHeight="1">
      <c r="A643" s="157"/>
      <c r="B643" s="158"/>
      <c r="C643" s="158"/>
      <c r="D643" s="158"/>
      <c r="E643" s="159"/>
      <c r="F643" s="158"/>
      <c r="G643" s="158"/>
      <c r="H643" s="135"/>
      <c r="I643" s="135"/>
      <c r="J643" s="135"/>
      <c r="K643" s="135"/>
      <c r="L643" s="158"/>
      <c r="M643" s="158"/>
      <c r="N643" s="158"/>
      <c r="O643" s="158"/>
      <c r="P643" s="158"/>
      <c r="Q643" s="158"/>
      <c r="R643" s="158"/>
      <c r="S643" s="158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</row>
    <row r="644" ht="22.5" customHeight="1">
      <c r="A644" s="157"/>
      <c r="B644" s="158"/>
      <c r="C644" s="158"/>
      <c r="D644" s="158"/>
      <c r="E644" s="159"/>
      <c r="F644" s="158"/>
      <c r="G644" s="158"/>
      <c r="H644" s="135"/>
      <c r="I644" s="135"/>
      <c r="J644" s="135"/>
      <c r="K644" s="135"/>
      <c r="L644" s="158"/>
      <c r="M644" s="158"/>
      <c r="N644" s="158"/>
      <c r="O644" s="158"/>
      <c r="P644" s="158"/>
      <c r="Q644" s="158"/>
      <c r="R644" s="158"/>
      <c r="S644" s="158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</row>
    <row r="645" ht="22.5" customHeight="1">
      <c r="A645" s="157"/>
      <c r="B645" s="158"/>
      <c r="C645" s="158"/>
      <c r="D645" s="158"/>
      <c r="E645" s="159"/>
      <c r="F645" s="158"/>
      <c r="G645" s="158"/>
      <c r="H645" s="135"/>
      <c r="I645" s="135"/>
      <c r="J645" s="135"/>
      <c r="K645" s="135"/>
      <c r="L645" s="158"/>
      <c r="M645" s="158"/>
      <c r="N645" s="158"/>
      <c r="O645" s="158"/>
      <c r="P645" s="158"/>
      <c r="Q645" s="158"/>
      <c r="R645" s="158"/>
      <c r="S645" s="158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</row>
    <row r="646" ht="22.5" customHeight="1">
      <c r="A646" s="157"/>
      <c r="B646" s="158"/>
      <c r="C646" s="158"/>
      <c r="D646" s="158"/>
      <c r="E646" s="159"/>
      <c r="F646" s="158"/>
      <c r="G646" s="158"/>
      <c r="H646" s="135"/>
      <c r="I646" s="135"/>
      <c r="J646" s="135"/>
      <c r="K646" s="135"/>
      <c r="L646" s="158"/>
      <c r="M646" s="158"/>
      <c r="N646" s="158"/>
      <c r="O646" s="158"/>
      <c r="P646" s="158"/>
      <c r="Q646" s="158"/>
      <c r="R646" s="158"/>
      <c r="S646" s="158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</row>
    <row r="647" ht="22.5" customHeight="1">
      <c r="A647" s="157"/>
      <c r="B647" s="158"/>
      <c r="C647" s="158"/>
      <c r="D647" s="158"/>
      <c r="E647" s="159"/>
      <c r="F647" s="158"/>
      <c r="G647" s="158"/>
      <c r="H647" s="135"/>
      <c r="I647" s="135"/>
      <c r="J647" s="135"/>
      <c r="K647" s="135"/>
      <c r="L647" s="158"/>
      <c r="M647" s="158"/>
      <c r="N647" s="158"/>
      <c r="O647" s="158"/>
      <c r="P647" s="158"/>
      <c r="Q647" s="158"/>
      <c r="R647" s="158"/>
      <c r="S647" s="158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</row>
    <row r="648" ht="22.5" customHeight="1">
      <c r="A648" s="157"/>
      <c r="B648" s="158"/>
      <c r="C648" s="158"/>
      <c r="D648" s="158"/>
      <c r="E648" s="159"/>
      <c r="F648" s="158"/>
      <c r="G648" s="158"/>
      <c r="H648" s="135"/>
      <c r="I648" s="135"/>
      <c r="J648" s="135"/>
      <c r="K648" s="135"/>
      <c r="L648" s="158"/>
      <c r="M648" s="158"/>
      <c r="N648" s="158"/>
      <c r="O648" s="158"/>
      <c r="P648" s="158"/>
      <c r="Q648" s="158"/>
      <c r="R648" s="158"/>
      <c r="S648" s="158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</row>
    <row r="649" ht="22.5" customHeight="1">
      <c r="A649" s="157"/>
      <c r="B649" s="158"/>
      <c r="C649" s="158"/>
      <c r="D649" s="158"/>
      <c r="E649" s="159"/>
      <c r="F649" s="158"/>
      <c r="G649" s="158"/>
      <c r="H649" s="135"/>
      <c r="I649" s="135"/>
      <c r="J649" s="135"/>
      <c r="K649" s="135"/>
      <c r="L649" s="158"/>
      <c r="M649" s="158"/>
      <c r="N649" s="158"/>
      <c r="O649" s="158"/>
      <c r="P649" s="158"/>
      <c r="Q649" s="158"/>
      <c r="R649" s="158"/>
      <c r="S649" s="158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</row>
    <row r="650" ht="22.5" customHeight="1">
      <c r="A650" s="157"/>
      <c r="B650" s="158"/>
      <c r="C650" s="158"/>
      <c r="D650" s="158"/>
      <c r="E650" s="159"/>
      <c r="F650" s="158"/>
      <c r="G650" s="158"/>
      <c r="H650" s="135"/>
      <c r="I650" s="135"/>
      <c r="J650" s="135"/>
      <c r="K650" s="135"/>
      <c r="L650" s="158"/>
      <c r="M650" s="158"/>
      <c r="N650" s="158"/>
      <c r="O650" s="158"/>
      <c r="P650" s="158"/>
      <c r="Q650" s="158"/>
      <c r="R650" s="158"/>
      <c r="S650" s="158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</row>
    <row r="651" ht="22.5" customHeight="1">
      <c r="A651" s="157"/>
      <c r="B651" s="158"/>
      <c r="C651" s="158"/>
      <c r="D651" s="158"/>
      <c r="E651" s="159"/>
      <c r="F651" s="158"/>
      <c r="G651" s="158"/>
      <c r="H651" s="135"/>
      <c r="I651" s="135"/>
      <c r="J651" s="135"/>
      <c r="K651" s="135"/>
      <c r="L651" s="158"/>
      <c r="M651" s="158"/>
      <c r="N651" s="158"/>
      <c r="O651" s="158"/>
      <c r="P651" s="158"/>
      <c r="Q651" s="158"/>
      <c r="R651" s="158"/>
      <c r="S651" s="158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</row>
    <row r="652" ht="22.5" customHeight="1">
      <c r="A652" s="157"/>
      <c r="B652" s="158"/>
      <c r="C652" s="158"/>
      <c r="D652" s="158"/>
      <c r="E652" s="159"/>
      <c r="F652" s="158"/>
      <c r="G652" s="158"/>
      <c r="H652" s="135"/>
      <c r="I652" s="135"/>
      <c r="J652" s="135"/>
      <c r="K652" s="135"/>
      <c r="L652" s="158"/>
      <c r="M652" s="158"/>
      <c r="N652" s="158"/>
      <c r="O652" s="158"/>
      <c r="P652" s="158"/>
      <c r="Q652" s="158"/>
      <c r="R652" s="158"/>
      <c r="S652" s="158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</row>
    <row r="653" ht="22.5" customHeight="1">
      <c r="A653" s="157"/>
      <c r="B653" s="158"/>
      <c r="C653" s="158"/>
      <c r="D653" s="158"/>
      <c r="E653" s="159"/>
      <c r="F653" s="158"/>
      <c r="G653" s="158"/>
      <c r="H653" s="135"/>
      <c r="I653" s="135"/>
      <c r="J653" s="135"/>
      <c r="K653" s="135"/>
      <c r="L653" s="158"/>
      <c r="M653" s="158"/>
      <c r="N653" s="158"/>
      <c r="O653" s="158"/>
      <c r="P653" s="158"/>
      <c r="Q653" s="158"/>
      <c r="R653" s="158"/>
      <c r="S653" s="158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</row>
    <row r="654" ht="22.5" customHeight="1">
      <c r="A654" s="157"/>
      <c r="B654" s="158"/>
      <c r="C654" s="158"/>
      <c r="D654" s="158"/>
      <c r="E654" s="159"/>
      <c r="F654" s="158"/>
      <c r="G654" s="158"/>
      <c r="H654" s="135"/>
      <c r="I654" s="135"/>
      <c r="J654" s="135"/>
      <c r="K654" s="135"/>
      <c r="L654" s="158"/>
      <c r="M654" s="158"/>
      <c r="N654" s="158"/>
      <c r="O654" s="158"/>
      <c r="P654" s="158"/>
      <c r="Q654" s="158"/>
      <c r="R654" s="158"/>
      <c r="S654" s="158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</row>
    <row r="655" ht="22.5" customHeight="1">
      <c r="A655" s="157"/>
      <c r="B655" s="158"/>
      <c r="C655" s="158"/>
      <c r="D655" s="158"/>
      <c r="E655" s="159"/>
      <c r="F655" s="158"/>
      <c r="G655" s="158"/>
      <c r="H655" s="135"/>
      <c r="I655" s="135"/>
      <c r="J655" s="135"/>
      <c r="K655" s="135"/>
      <c r="L655" s="158"/>
      <c r="M655" s="158"/>
      <c r="N655" s="158"/>
      <c r="O655" s="158"/>
      <c r="P655" s="158"/>
      <c r="Q655" s="158"/>
      <c r="R655" s="158"/>
      <c r="S655" s="158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</row>
    <row r="656" ht="22.5" customHeight="1">
      <c r="A656" s="157"/>
      <c r="B656" s="158"/>
      <c r="C656" s="158"/>
      <c r="D656" s="158"/>
      <c r="E656" s="159"/>
      <c r="F656" s="158"/>
      <c r="G656" s="158"/>
      <c r="H656" s="135"/>
      <c r="I656" s="135"/>
      <c r="J656" s="135"/>
      <c r="K656" s="135"/>
      <c r="L656" s="158"/>
      <c r="M656" s="158"/>
      <c r="N656" s="158"/>
      <c r="O656" s="158"/>
      <c r="P656" s="158"/>
      <c r="Q656" s="158"/>
      <c r="R656" s="158"/>
      <c r="S656" s="158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</row>
    <row r="657" ht="22.5" customHeight="1">
      <c r="A657" s="157"/>
      <c r="B657" s="158"/>
      <c r="C657" s="158"/>
      <c r="D657" s="158"/>
      <c r="E657" s="159"/>
      <c r="F657" s="158"/>
      <c r="G657" s="158"/>
      <c r="H657" s="135"/>
      <c r="I657" s="135"/>
      <c r="J657" s="135"/>
      <c r="K657" s="135"/>
      <c r="L657" s="158"/>
      <c r="M657" s="158"/>
      <c r="N657" s="158"/>
      <c r="O657" s="158"/>
      <c r="P657" s="158"/>
      <c r="Q657" s="158"/>
      <c r="R657" s="158"/>
      <c r="S657" s="158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</row>
    <row r="658" ht="22.5" customHeight="1">
      <c r="A658" s="157"/>
      <c r="B658" s="158"/>
      <c r="C658" s="158"/>
      <c r="D658" s="158"/>
      <c r="E658" s="159"/>
      <c r="F658" s="158"/>
      <c r="G658" s="158"/>
      <c r="H658" s="135"/>
      <c r="I658" s="135"/>
      <c r="J658" s="135"/>
      <c r="K658" s="135"/>
      <c r="L658" s="158"/>
      <c r="M658" s="158"/>
      <c r="N658" s="158"/>
      <c r="O658" s="158"/>
      <c r="P658" s="158"/>
      <c r="Q658" s="158"/>
      <c r="R658" s="158"/>
      <c r="S658" s="158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</row>
    <row r="659" ht="22.5" customHeight="1">
      <c r="A659" s="157"/>
      <c r="B659" s="158"/>
      <c r="C659" s="158"/>
      <c r="D659" s="158"/>
      <c r="E659" s="159"/>
      <c r="F659" s="158"/>
      <c r="G659" s="158"/>
      <c r="H659" s="135"/>
      <c r="I659" s="135"/>
      <c r="J659" s="135"/>
      <c r="K659" s="135"/>
      <c r="L659" s="158"/>
      <c r="M659" s="158"/>
      <c r="N659" s="158"/>
      <c r="O659" s="158"/>
      <c r="P659" s="158"/>
      <c r="Q659" s="158"/>
      <c r="R659" s="158"/>
      <c r="S659" s="158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</row>
    <row r="660" ht="22.5" customHeight="1">
      <c r="A660" s="157"/>
      <c r="B660" s="158"/>
      <c r="C660" s="158"/>
      <c r="D660" s="158"/>
      <c r="E660" s="159"/>
      <c r="F660" s="158"/>
      <c r="G660" s="158"/>
      <c r="H660" s="135"/>
      <c r="I660" s="135"/>
      <c r="J660" s="135"/>
      <c r="K660" s="135"/>
      <c r="L660" s="158"/>
      <c r="M660" s="158"/>
      <c r="N660" s="158"/>
      <c r="O660" s="158"/>
      <c r="P660" s="158"/>
      <c r="Q660" s="158"/>
      <c r="R660" s="158"/>
      <c r="S660" s="158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</row>
    <row r="661" ht="22.5" customHeight="1">
      <c r="A661" s="157"/>
      <c r="B661" s="158"/>
      <c r="C661" s="158"/>
      <c r="D661" s="158"/>
      <c r="E661" s="159"/>
      <c r="F661" s="158"/>
      <c r="G661" s="158"/>
      <c r="H661" s="135"/>
      <c r="I661" s="135"/>
      <c r="J661" s="135"/>
      <c r="K661" s="135"/>
      <c r="L661" s="158"/>
      <c r="M661" s="158"/>
      <c r="N661" s="158"/>
      <c r="O661" s="158"/>
      <c r="P661" s="158"/>
      <c r="Q661" s="158"/>
      <c r="R661" s="158"/>
      <c r="S661" s="158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</row>
    <row r="662" ht="22.5" customHeight="1">
      <c r="A662" s="157"/>
      <c r="B662" s="158"/>
      <c r="C662" s="158"/>
      <c r="D662" s="158"/>
      <c r="E662" s="159"/>
      <c r="F662" s="158"/>
      <c r="G662" s="158"/>
      <c r="H662" s="135"/>
      <c r="I662" s="135"/>
      <c r="J662" s="135"/>
      <c r="K662" s="135"/>
      <c r="L662" s="158"/>
      <c r="M662" s="158"/>
      <c r="N662" s="158"/>
      <c r="O662" s="158"/>
      <c r="P662" s="158"/>
      <c r="Q662" s="158"/>
      <c r="R662" s="158"/>
      <c r="S662" s="158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</row>
    <row r="663" ht="22.5" customHeight="1">
      <c r="A663" s="157"/>
      <c r="B663" s="158"/>
      <c r="C663" s="158"/>
      <c r="D663" s="158"/>
      <c r="E663" s="159"/>
      <c r="F663" s="158"/>
      <c r="G663" s="158"/>
      <c r="H663" s="135"/>
      <c r="I663" s="135"/>
      <c r="J663" s="135"/>
      <c r="K663" s="135"/>
      <c r="L663" s="158"/>
      <c r="M663" s="158"/>
      <c r="N663" s="158"/>
      <c r="O663" s="158"/>
      <c r="P663" s="158"/>
      <c r="Q663" s="158"/>
      <c r="R663" s="158"/>
      <c r="S663" s="158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</row>
    <row r="664" ht="22.5" customHeight="1">
      <c r="A664" s="157"/>
      <c r="B664" s="158"/>
      <c r="C664" s="158"/>
      <c r="D664" s="158"/>
      <c r="E664" s="159"/>
      <c r="F664" s="158"/>
      <c r="G664" s="158"/>
      <c r="H664" s="135"/>
      <c r="I664" s="135"/>
      <c r="J664" s="135"/>
      <c r="K664" s="135"/>
      <c r="L664" s="158"/>
      <c r="M664" s="158"/>
      <c r="N664" s="158"/>
      <c r="O664" s="158"/>
      <c r="P664" s="158"/>
      <c r="Q664" s="158"/>
      <c r="R664" s="158"/>
      <c r="S664" s="158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</row>
    <row r="665" ht="22.5" customHeight="1">
      <c r="A665" s="157"/>
      <c r="B665" s="158"/>
      <c r="C665" s="158"/>
      <c r="D665" s="158"/>
      <c r="E665" s="159"/>
      <c r="F665" s="158"/>
      <c r="G665" s="158"/>
      <c r="H665" s="135"/>
      <c r="I665" s="135"/>
      <c r="J665" s="135"/>
      <c r="K665" s="135"/>
      <c r="L665" s="158"/>
      <c r="M665" s="158"/>
      <c r="N665" s="158"/>
      <c r="O665" s="158"/>
      <c r="P665" s="158"/>
      <c r="Q665" s="158"/>
      <c r="R665" s="158"/>
      <c r="S665" s="158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</row>
    <row r="666" ht="22.5" customHeight="1">
      <c r="A666" s="157"/>
      <c r="B666" s="158"/>
      <c r="C666" s="158"/>
      <c r="D666" s="158"/>
      <c r="E666" s="159"/>
      <c r="F666" s="158"/>
      <c r="G666" s="158"/>
      <c r="H666" s="135"/>
      <c r="I666" s="135"/>
      <c r="J666" s="135"/>
      <c r="K666" s="135"/>
      <c r="L666" s="158"/>
      <c r="M666" s="158"/>
      <c r="N666" s="158"/>
      <c r="O666" s="158"/>
      <c r="P666" s="158"/>
      <c r="Q666" s="158"/>
      <c r="R666" s="158"/>
      <c r="S666" s="158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</row>
    <row r="667" ht="22.5" customHeight="1">
      <c r="A667" s="157"/>
      <c r="B667" s="158"/>
      <c r="C667" s="158"/>
      <c r="D667" s="158"/>
      <c r="E667" s="159"/>
      <c r="F667" s="158"/>
      <c r="G667" s="158"/>
      <c r="H667" s="135"/>
      <c r="I667" s="135"/>
      <c r="J667" s="135"/>
      <c r="K667" s="135"/>
      <c r="L667" s="158"/>
      <c r="M667" s="158"/>
      <c r="N667" s="158"/>
      <c r="O667" s="158"/>
      <c r="P667" s="158"/>
      <c r="Q667" s="158"/>
      <c r="R667" s="158"/>
      <c r="S667" s="158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</row>
    <row r="668" ht="22.5" customHeight="1">
      <c r="A668" s="157"/>
      <c r="B668" s="158"/>
      <c r="C668" s="158"/>
      <c r="D668" s="158"/>
      <c r="E668" s="159"/>
      <c r="F668" s="158"/>
      <c r="G668" s="158"/>
      <c r="H668" s="135"/>
      <c r="I668" s="135"/>
      <c r="J668" s="135"/>
      <c r="K668" s="135"/>
      <c r="L668" s="158"/>
      <c r="M668" s="158"/>
      <c r="N668" s="158"/>
      <c r="O668" s="158"/>
      <c r="P668" s="158"/>
      <c r="Q668" s="158"/>
      <c r="R668" s="158"/>
      <c r="S668" s="158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</row>
    <row r="669" ht="22.5" customHeight="1">
      <c r="A669" s="157"/>
      <c r="B669" s="158"/>
      <c r="C669" s="158"/>
      <c r="D669" s="158"/>
      <c r="E669" s="159"/>
      <c r="F669" s="158"/>
      <c r="G669" s="158"/>
      <c r="H669" s="135"/>
      <c r="I669" s="135"/>
      <c r="J669" s="135"/>
      <c r="K669" s="135"/>
      <c r="L669" s="158"/>
      <c r="M669" s="158"/>
      <c r="N669" s="158"/>
      <c r="O669" s="158"/>
      <c r="P669" s="158"/>
      <c r="Q669" s="158"/>
      <c r="R669" s="158"/>
      <c r="S669" s="158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</row>
    <row r="670" ht="22.5" customHeight="1">
      <c r="A670" s="157"/>
      <c r="B670" s="158"/>
      <c r="C670" s="158"/>
      <c r="D670" s="158"/>
      <c r="E670" s="159"/>
      <c r="F670" s="158"/>
      <c r="G670" s="158"/>
      <c r="H670" s="135"/>
      <c r="I670" s="135"/>
      <c r="J670" s="135"/>
      <c r="K670" s="135"/>
      <c r="L670" s="158"/>
      <c r="M670" s="158"/>
      <c r="N670" s="158"/>
      <c r="O670" s="158"/>
      <c r="P670" s="158"/>
      <c r="Q670" s="158"/>
      <c r="R670" s="158"/>
      <c r="S670" s="158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</row>
    <row r="671" ht="22.5" customHeight="1">
      <c r="A671" s="157"/>
      <c r="B671" s="158"/>
      <c r="C671" s="158"/>
      <c r="D671" s="158"/>
      <c r="E671" s="159"/>
      <c r="F671" s="158"/>
      <c r="G671" s="158"/>
      <c r="H671" s="135"/>
      <c r="I671" s="135"/>
      <c r="J671" s="135"/>
      <c r="K671" s="135"/>
      <c r="L671" s="158"/>
      <c r="M671" s="158"/>
      <c r="N671" s="158"/>
      <c r="O671" s="158"/>
      <c r="P671" s="158"/>
      <c r="Q671" s="158"/>
      <c r="R671" s="158"/>
      <c r="S671" s="158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</row>
    <row r="672" ht="22.5" customHeight="1">
      <c r="A672" s="157"/>
      <c r="B672" s="158"/>
      <c r="C672" s="158"/>
      <c r="D672" s="158"/>
      <c r="E672" s="159"/>
      <c r="F672" s="158"/>
      <c r="G672" s="158"/>
      <c r="H672" s="135"/>
      <c r="I672" s="135"/>
      <c r="J672" s="135"/>
      <c r="K672" s="135"/>
      <c r="L672" s="158"/>
      <c r="M672" s="158"/>
      <c r="N672" s="158"/>
      <c r="O672" s="158"/>
      <c r="P672" s="158"/>
      <c r="Q672" s="158"/>
      <c r="R672" s="158"/>
      <c r="S672" s="158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</row>
    <row r="673" ht="22.5" customHeight="1">
      <c r="A673" s="157"/>
      <c r="B673" s="158"/>
      <c r="C673" s="158"/>
      <c r="D673" s="158"/>
      <c r="E673" s="159"/>
      <c r="F673" s="158"/>
      <c r="G673" s="158"/>
      <c r="H673" s="135"/>
      <c r="I673" s="135"/>
      <c r="J673" s="135"/>
      <c r="K673" s="135"/>
      <c r="L673" s="158"/>
      <c r="M673" s="158"/>
      <c r="N673" s="158"/>
      <c r="O673" s="158"/>
      <c r="P673" s="158"/>
      <c r="Q673" s="158"/>
      <c r="R673" s="158"/>
      <c r="S673" s="158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</row>
    <row r="674" ht="22.5" customHeight="1">
      <c r="A674" s="157"/>
      <c r="B674" s="158"/>
      <c r="C674" s="158"/>
      <c r="D674" s="158"/>
      <c r="E674" s="159"/>
      <c r="F674" s="158"/>
      <c r="G674" s="158"/>
      <c r="H674" s="135"/>
      <c r="I674" s="135"/>
      <c r="J674" s="135"/>
      <c r="K674" s="135"/>
      <c r="L674" s="158"/>
      <c r="M674" s="158"/>
      <c r="N674" s="158"/>
      <c r="O674" s="158"/>
      <c r="P674" s="158"/>
      <c r="Q674" s="158"/>
      <c r="R674" s="158"/>
      <c r="S674" s="158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</row>
    <row r="675" ht="22.5" customHeight="1">
      <c r="A675" s="157"/>
      <c r="B675" s="158"/>
      <c r="C675" s="158"/>
      <c r="D675" s="158"/>
      <c r="E675" s="159"/>
      <c r="F675" s="158"/>
      <c r="G675" s="158"/>
      <c r="H675" s="135"/>
      <c r="I675" s="135"/>
      <c r="J675" s="135"/>
      <c r="K675" s="135"/>
      <c r="L675" s="158"/>
      <c r="M675" s="158"/>
      <c r="N675" s="158"/>
      <c r="O675" s="158"/>
      <c r="P675" s="158"/>
      <c r="Q675" s="158"/>
      <c r="R675" s="158"/>
      <c r="S675" s="158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</row>
    <row r="676" ht="22.5" customHeight="1">
      <c r="A676" s="157"/>
      <c r="B676" s="158"/>
      <c r="C676" s="158"/>
      <c r="D676" s="158"/>
      <c r="E676" s="159"/>
      <c r="F676" s="158"/>
      <c r="G676" s="158"/>
      <c r="H676" s="135"/>
      <c r="I676" s="135"/>
      <c r="J676" s="135"/>
      <c r="K676" s="135"/>
      <c r="L676" s="158"/>
      <c r="M676" s="158"/>
      <c r="N676" s="158"/>
      <c r="O676" s="158"/>
      <c r="P676" s="158"/>
      <c r="Q676" s="158"/>
      <c r="R676" s="158"/>
      <c r="S676" s="158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</row>
    <row r="677" ht="22.5" customHeight="1">
      <c r="A677" s="157"/>
      <c r="B677" s="158"/>
      <c r="C677" s="158"/>
      <c r="D677" s="158"/>
      <c r="E677" s="159"/>
      <c r="F677" s="158"/>
      <c r="G677" s="158"/>
      <c r="H677" s="135"/>
      <c r="I677" s="135"/>
      <c r="J677" s="135"/>
      <c r="K677" s="135"/>
      <c r="L677" s="158"/>
      <c r="M677" s="158"/>
      <c r="N677" s="158"/>
      <c r="O677" s="158"/>
      <c r="P677" s="158"/>
      <c r="Q677" s="158"/>
      <c r="R677" s="158"/>
      <c r="S677" s="158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</row>
    <row r="678" ht="22.5" customHeight="1">
      <c r="A678" s="157"/>
      <c r="B678" s="158"/>
      <c r="C678" s="158"/>
      <c r="D678" s="158"/>
      <c r="E678" s="159"/>
      <c r="F678" s="158"/>
      <c r="G678" s="158"/>
      <c r="H678" s="135"/>
      <c r="I678" s="135"/>
      <c r="J678" s="135"/>
      <c r="K678" s="135"/>
      <c r="L678" s="158"/>
      <c r="M678" s="158"/>
      <c r="N678" s="158"/>
      <c r="O678" s="158"/>
      <c r="P678" s="158"/>
      <c r="Q678" s="158"/>
      <c r="R678" s="158"/>
      <c r="S678" s="158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</row>
    <row r="679" ht="22.5" customHeight="1">
      <c r="A679" s="157"/>
      <c r="B679" s="158"/>
      <c r="C679" s="158"/>
      <c r="D679" s="158"/>
      <c r="E679" s="159"/>
      <c r="F679" s="158"/>
      <c r="G679" s="158"/>
      <c r="H679" s="135"/>
      <c r="I679" s="135"/>
      <c r="J679" s="135"/>
      <c r="K679" s="135"/>
      <c r="L679" s="158"/>
      <c r="M679" s="158"/>
      <c r="N679" s="158"/>
      <c r="O679" s="158"/>
      <c r="P679" s="158"/>
      <c r="Q679" s="158"/>
      <c r="R679" s="158"/>
      <c r="S679" s="158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</row>
    <row r="680" ht="22.5" customHeight="1">
      <c r="A680" s="157"/>
      <c r="B680" s="158"/>
      <c r="C680" s="158"/>
      <c r="D680" s="158"/>
      <c r="E680" s="159"/>
      <c r="F680" s="158"/>
      <c r="G680" s="158"/>
      <c r="H680" s="135"/>
      <c r="I680" s="135"/>
      <c r="J680" s="135"/>
      <c r="K680" s="135"/>
      <c r="L680" s="158"/>
      <c r="M680" s="158"/>
      <c r="N680" s="158"/>
      <c r="O680" s="158"/>
      <c r="P680" s="158"/>
      <c r="Q680" s="158"/>
      <c r="R680" s="158"/>
      <c r="S680" s="158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</row>
    <row r="681" ht="22.5" customHeight="1">
      <c r="A681" s="157"/>
      <c r="B681" s="158"/>
      <c r="C681" s="158"/>
      <c r="D681" s="158"/>
      <c r="E681" s="159"/>
      <c r="F681" s="158"/>
      <c r="G681" s="158"/>
      <c r="H681" s="135"/>
      <c r="I681" s="135"/>
      <c r="J681" s="135"/>
      <c r="K681" s="135"/>
      <c r="L681" s="158"/>
      <c r="M681" s="158"/>
      <c r="N681" s="158"/>
      <c r="O681" s="158"/>
      <c r="P681" s="158"/>
      <c r="Q681" s="158"/>
      <c r="R681" s="158"/>
      <c r="S681" s="158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</row>
    <row r="682" ht="22.5" customHeight="1">
      <c r="A682" s="157"/>
      <c r="B682" s="158"/>
      <c r="C682" s="158"/>
      <c r="D682" s="158"/>
      <c r="E682" s="159"/>
      <c r="F682" s="158"/>
      <c r="G682" s="158"/>
      <c r="H682" s="135"/>
      <c r="I682" s="135"/>
      <c r="J682" s="135"/>
      <c r="K682" s="135"/>
      <c r="L682" s="158"/>
      <c r="M682" s="158"/>
      <c r="N682" s="158"/>
      <c r="O682" s="158"/>
      <c r="P682" s="158"/>
      <c r="Q682" s="158"/>
      <c r="R682" s="158"/>
      <c r="S682" s="158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</row>
    <row r="683" ht="22.5" customHeight="1">
      <c r="A683" s="157"/>
      <c r="B683" s="158"/>
      <c r="C683" s="158"/>
      <c r="D683" s="158"/>
      <c r="E683" s="159"/>
      <c r="F683" s="158"/>
      <c r="G683" s="158"/>
      <c r="H683" s="135"/>
      <c r="I683" s="135"/>
      <c r="J683" s="135"/>
      <c r="K683" s="135"/>
      <c r="L683" s="158"/>
      <c r="M683" s="158"/>
      <c r="N683" s="158"/>
      <c r="O683" s="158"/>
      <c r="P683" s="158"/>
      <c r="Q683" s="158"/>
      <c r="R683" s="158"/>
      <c r="S683" s="158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</row>
    <row r="684" ht="22.5" customHeight="1">
      <c r="A684" s="157"/>
      <c r="B684" s="158"/>
      <c r="C684" s="158"/>
      <c r="D684" s="158"/>
      <c r="E684" s="159"/>
      <c r="F684" s="158"/>
      <c r="G684" s="158"/>
      <c r="H684" s="135"/>
      <c r="I684" s="135"/>
      <c r="J684" s="135"/>
      <c r="K684" s="135"/>
      <c r="L684" s="158"/>
      <c r="M684" s="158"/>
      <c r="N684" s="158"/>
      <c r="O684" s="158"/>
      <c r="P684" s="158"/>
      <c r="Q684" s="158"/>
      <c r="R684" s="158"/>
      <c r="S684" s="158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</row>
    <row r="685" ht="22.5" customHeight="1">
      <c r="A685" s="157"/>
      <c r="B685" s="158"/>
      <c r="C685" s="158"/>
      <c r="D685" s="158"/>
      <c r="E685" s="159"/>
      <c r="F685" s="158"/>
      <c r="G685" s="158"/>
      <c r="H685" s="135"/>
      <c r="I685" s="135"/>
      <c r="J685" s="135"/>
      <c r="K685" s="135"/>
      <c r="L685" s="158"/>
      <c r="M685" s="158"/>
      <c r="N685" s="158"/>
      <c r="O685" s="158"/>
      <c r="P685" s="158"/>
      <c r="Q685" s="158"/>
      <c r="R685" s="158"/>
      <c r="S685" s="158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</row>
    <row r="686" ht="22.5" customHeight="1">
      <c r="A686" s="157"/>
      <c r="B686" s="158"/>
      <c r="C686" s="158"/>
      <c r="D686" s="158"/>
      <c r="E686" s="159"/>
      <c r="F686" s="158"/>
      <c r="G686" s="158"/>
      <c r="H686" s="135"/>
      <c r="I686" s="135"/>
      <c r="J686" s="135"/>
      <c r="K686" s="135"/>
      <c r="L686" s="158"/>
      <c r="M686" s="158"/>
      <c r="N686" s="158"/>
      <c r="O686" s="158"/>
      <c r="P686" s="158"/>
      <c r="Q686" s="158"/>
      <c r="R686" s="158"/>
      <c r="S686" s="158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</row>
    <row r="687" ht="22.5" customHeight="1">
      <c r="A687" s="157"/>
      <c r="B687" s="158"/>
      <c r="C687" s="158"/>
      <c r="D687" s="158"/>
      <c r="E687" s="159"/>
      <c r="F687" s="158"/>
      <c r="G687" s="158"/>
      <c r="H687" s="135"/>
      <c r="I687" s="135"/>
      <c r="J687" s="135"/>
      <c r="K687" s="135"/>
      <c r="L687" s="158"/>
      <c r="M687" s="158"/>
      <c r="N687" s="158"/>
      <c r="O687" s="158"/>
      <c r="P687" s="158"/>
      <c r="Q687" s="158"/>
      <c r="R687" s="158"/>
      <c r="S687" s="158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</row>
    <row r="688" ht="22.5" customHeight="1">
      <c r="A688" s="157"/>
      <c r="B688" s="158"/>
      <c r="C688" s="158"/>
      <c r="D688" s="158"/>
      <c r="E688" s="159"/>
      <c r="F688" s="158"/>
      <c r="G688" s="158"/>
      <c r="H688" s="135"/>
      <c r="I688" s="135"/>
      <c r="J688" s="135"/>
      <c r="K688" s="135"/>
      <c r="L688" s="158"/>
      <c r="M688" s="158"/>
      <c r="N688" s="158"/>
      <c r="O688" s="158"/>
      <c r="P688" s="158"/>
      <c r="Q688" s="158"/>
      <c r="R688" s="158"/>
      <c r="S688" s="158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</row>
    <row r="689" ht="22.5" customHeight="1">
      <c r="A689" s="157"/>
      <c r="B689" s="158"/>
      <c r="C689" s="158"/>
      <c r="D689" s="158"/>
      <c r="E689" s="159"/>
      <c r="F689" s="158"/>
      <c r="G689" s="158"/>
      <c r="H689" s="135"/>
      <c r="I689" s="135"/>
      <c r="J689" s="135"/>
      <c r="K689" s="135"/>
      <c r="L689" s="158"/>
      <c r="M689" s="158"/>
      <c r="N689" s="158"/>
      <c r="O689" s="158"/>
      <c r="P689" s="158"/>
      <c r="Q689" s="158"/>
      <c r="R689" s="158"/>
      <c r="S689" s="158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</row>
    <row r="690" ht="22.5" customHeight="1">
      <c r="A690" s="157"/>
      <c r="B690" s="158"/>
      <c r="C690" s="158"/>
      <c r="D690" s="158"/>
      <c r="E690" s="159"/>
      <c r="F690" s="158"/>
      <c r="G690" s="158"/>
      <c r="H690" s="135"/>
      <c r="I690" s="135"/>
      <c r="J690" s="135"/>
      <c r="K690" s="135"/>
      <c r="L690" s="158"/>
      <c r="M690" s="158"/>
      <c r="N690" s="158"/>
      <c r="O690" s="158"/>
      <c r="P690" s="158"/>
      <c r="Q690" s="158"/>
      <c r="R690" s="158"/>
      <c r="S690" s="158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</row>
    <row r="691" ht="22.5" customHeight="1">
      <c r="A691" s="157"/>
      <c r="B691" s="158"/>
      <c r="C691" s="158"/>
      <c r="D691" s="158"/>
      <c r="E691" s="159"/>
      <c r="F691" s="158"/>
      <c r="G691" s="158"/>
      <c r="H691" s="135"/>
      <c r="I691" s="135"/>
      <c r="J691" s="135"/>
      <c r="K691" s="135"/>
      <c r="L691" s="158"/>
      <c r="M691" s="158"/>
      <c r="N691" s="158"/>
      <c r="O691" s="158"/>
      <c r="P691" s="158"/>
      <c r="Q691" s="158"/>
      <c r="R691" s="158"/>
      <c r="S691" s="158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</row>
    <row r="692" ht="22.5" customHeight="1">
      <c r="A692" s="157"/>
      <c r="B692" s="158"/>
      <c r="C692" s="158"/>
      <c r="D692" s="158"/>
      <c r="E692" s="159"/>
      <c r="F692" s="158"/>
      <c r="G692" s="158"/>
      <c r="H692" s="135"/>
      <c r="I692" s="135"/>
      <c r="J692" s="135"/>
      <c r="K692" s="135"/>
      <c r="L692" s="158"/>
      <c r="M692" s="158"/>
      <c r="N692" s="158"/>
      <c r="O692" s="158"/>
      <c r="P692" s="158"/>
      <c r="Q692" s="158"/>
      <c r="R692" s="158"/>
      <c r="S692" s="158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</row>
    <row r="693" ht="22.5" customHeight="1">
      <c r="A693" s="157"/>
      <c r="B693" s="158"/>
      <c r="C693" s="158"/>
      <c r="D693" s="158"/>
      <c r="E693" s="159"/>
      <c r="F693" s="158"/>
      <c r="G693" s="158"/>
      <c r="H693" s="135"/>
      <c r="I693" s="135"/>
      <c r="J693" s="135"/>
      <c r="K693" s="135"/>
      <c r="L693" s="158"/>
      <c r="M693" s="158"/>
      <c r="N693" s="158"/>
      <c r="O693" s="158"/>
      <c r="P693" s="158"/>
      <c r="Q693" s="158"/>
      <c r="R693" s="158"/>
      <c r="S693" s="158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</row>
    <row r="694" ht="22.5" customHeight="1">
      <c r="A694" s="157"/>
      <c r="B694" s="158"/>
      <c r="C694" s="158"/>
      <c r="D694" s="158"/>
      <c r="E694" s="159"/>
      <c r="F694" s="158"/>
      <c r="G694" s="158"/>
      <c r="H694" s="135"/>
      <c r="I694" s="135"/>
      <c r="J694" s="135"/>
      <c r="K694" s="135"/>
      <c r="L694" s="158"/>
      <c r="M694" s="158"/>
      <c r="N694" s="158"/>
      <c r="O694" s="158"/>
      <c r="P694" s="158"/>
      <c r="Q694" s="158"/>
      <c r="R694" s="158"/>
      <c r="S694" s="158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</row>
    <row r="695" ht="22.5" customHeight="1">
      <c r="A695" s="157"/>
      <c r="B695" s="158"/>
      <c r="C695" s="158"/>
      <c r="D695" s="158"/>
      <c r="E695" s="159"/>
      <c r="F695" s="158"/>
      <c r="G695" s="158"/>
      <c r="H695" s="135"/>
      <c r="I695" s="135"/>
      <c r="J695" s="135"/>
      <c r="K695" s="135"/>
      <c r="L695" s="158"/>
      <c r="M695" s="158"/>
      <c r="N695" s="158"/>
      <c r="O695" s="158"/>
      <c r="P695" s="158"/>
      <c r="Q695" s="158"/>
      <c r="R695" s="158"/>
      <c r="S695" s="158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</row>
    <row r="696" ht="22.5" customHeight="1">
      <c r="A696" s="157"/>
      <c r="B696" s="158"/>
      <c r="C696" s="158"/>
      <c r="D696" s="158"/>
      <c r="E696" s="159"/>
      <c r="F696" s="158"/>
      <c r="G696" s="158"/>
      <c r="H696" s="135"/>
      <c r="I696" s="135"/>
      <c r="J696" s="135"/>
      <c r="K696" s="135"/>
      <c r="L696" s="158"/>
      <c r="M696" s="158"/>
      <c r="N696" s="158"/>
      <c r="O696" s="158"/>
      <c r="P696" s="158"/>
      <c r="Q696" s="158"/>
      <c r="R696" s="158"/>
      <c r="S696" s="158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</row>
    <row r="697" ht="22.5" customHeight="1">
      <c r="A697" s="157"/>
      <c r="B697" s="158"/>
      <c r="C697" s="158"/>
      <c r="D697" s="158"/>
      <c r="E697" s="159"/>
      <c r="F697" s="158"/>
      <c r="G697" s="158"/>
      <c r="H697" s="135"/>
      <c r="I697" s="135"/>
      <c r="J697" s="135"/>
      <c r="K697" s="135"/>
      <c r="L697" s="158"/>
      <c r="M697" s="158"/>
      <c r="N697" s="158"/>
      <c r="O697" s="158"/>
      <c r="P697" s="158"/>
      <c r="Q697" s="158"/>
      <c r="R697" s="158"/>
      <c r="S697" s="158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</row>
    <row r="698" ht="22.5" customHeight="1">
      <c r="A698" s="157"/>
      <c r="B698" s="158"/>
      <c r="C698" s="158"/>
      <c r="D698" s="158"/>
      <c r="E698" s="159"/>
      <c r="F698" s="158"/>
      <c r="G698" s="158"/>
      <c r="H698" s="135"/>
      <c r="I698" s="135"/>
      <c r="J698" s="135"/>
      <c r="K698" s="135"/>
      <c r="L698" s="158"/>
      <c r="M698" s="158"/>
      <c r="N698" s="158"/>
      <c r="O698" s="158"/>
      <c r="P698" s="158"/>
      <c r="Q698" s="158"/>
      <c r="R698" s="158"/>
      <c r="S698" s="158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</row>
    <row r="699" ht="22.5" customHeight="1">
      <c r="A699" s="157"/>
      <c r="B699" s="158"/>
      <c r="C699" s="158"/>
      <c r="D699" s="158"/>
      <c r="E699" s="159"/>
      <c r="F699" s="158"/>
      <c r="G699" s="158"/>
      <c r="H699" s="135"/>
      <c r="I699" s="135"/>
      <c r="J699" s="135"/>
      <c r="K699" s="135"/>
      <c r="L699" s="158"/>
      <c r="M699" s="158"/>
      <c r="N699" s="158"/>
      <c r="O699" s="158"/>
      <c r="P699" s="158"/>
      <c r="Q699" s="158"/>
      <c r="R699" s="158"/>
      <c r="S699" s="158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</row>
    <row r="700" ht="22.5" customHeight="1">
      <c r="A700" s="157"/>
      <c r="B700" s="158"/>
      <c r="C700" s="158"/>
      <c r="D700" s="158"/>
      <c r="E700" s="159"/>
      <c r="F700" s="158"/>
      <c r="G700" s="158"/>
      <c r="H700" s="135"/>
      <c r="I700" s="135"/>
      <c r="J700" s="135"/>
      <c r="K700" s="135"/>
      <c r="L700" s="158"/>
      <c r="M700" s="158"/>
      <c r="N700" s="158"/>
      <c r="O700" s="158"/>
      <c r="P700" s="158"/>
      <c r="Q700" s="158"/>
      <c r="R700" s="158"/>
      <c r="S700" s="158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</row>
    <row r="701" ht="22.5" customHeight="1">
      <c r="A701" s="157"/>
      <c r="B701" s="158"/>
      <c r="C701" s="158"/>
      <c r="D701" s="158"/>
      <c r="E701" s="159"/>
      <c r="F701" s="158"/>
      <c r="G701" s="158"/>
      <c r="H701" s="135"/>
      <c r="I701" s="135"/>
      <c r="J701" s="135"/>
      <c r="K701" s="135"/>
      <c r="L701" s="158"/>
      <c r="M701" s="158"/>
      <c r="N701" s="158"/>
      <c r="O701" s="158"/>
      <c r="P701" s="158"/>
      <c r="Q701" s="158"/>
      <c r="R701" s="158"/>
      <c r="S701" s="158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</row>
    <row r="702" ht="22.5" customHeight="1">
      <c r="A702" s="157"/>
      <c r="B702" s="158"/>
      <c r="C702" s="158"/>
      <c r="D702" s="158"/>
      <c r="E702" s="159"/>
      <c r="F702" s="158"/>
      <c r="G702" s="158"/>
      <c r="H702" s="135"/>
      <c r="I702" s="135"/>
      <c r="J702" s="135"/>
      <c r="K702" s="135"/>
      <c r="L702" s="158"/>
      <c r="M702" s="158"/>
      <c r="N702" s="158"/>
      <c r="O702" s="158"/>
      <c r="P702" s="158"/>
      <c r="Q702" s="158"/>
      <c r="R702" s="158"/>
      <c r="S702" s="158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</row>
    <row r="703" ht="22.5" customHeight="1">
      <c r="A703" s="157"/>
      <c r="B703" s="158"/>
      <c r="C703" s="158"/>
      <c r="D703" s="158"/>
      <c r="E703" s="159"/>
      <c r="F703" s="158"/>
      <c r="G703" s="158"/>
      <c r="H703" s="135"/>
      <c r="I703" s="135"/>
      <c r="J703" s="135"/>
      <c r="K703" s="135"/>
      <c r="L703" s="158"/>
      <c r="M703" s="158"/>
      <c r="N703" s="158"/>
      <c r="O703" s="158"/>
      <c r="P703" s="158"/>
      <c r="Q703" s="158"/>
      <c r="R703" s="158"/>
      <c r="S703" s="158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</row>
    <row r="704" ht="22.5" customHeight="1">
      <c r="A704" s="157"/>
      <c r="B704" s="158"/>
      <c r="C704" s="158"/>
      <c r="D704" s="158"/>
      <c r="E704" s="159"/>
      <c r="F704" s="158"/>
      <c r="G704" s="158"/>
      <c r="H704" s="135"/>
      <c r="I704" s="135"/>
      <c r="J704" s="135"/>
      <c r="K704" s="135"/>
      <c r="L704" s="158"/>
      <c r="M704" s="158"/>
      <c r="N704" s="158"/>
      <c r="O704" s="158"/>
      <c r="P704" s="158"/>
      <c r="Q704" s="158"/>
      <c r="R704" s="158"/>
      <c r="S704" s="158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</row>
    <row r="705" ht="22.5" customHeight="1">
      <c r="A705" s="157"/>
      <c r="B705" s="158"/>
      <c r="C705" s="158"/>
      <c r="D705" s="158"/>
      <c r="E705" s="159"/>
      <c r="F705" s="158"/>
      <c r="G705" s="158"/>
      <c r="H705" s="135"/>
      <c r="I705" s="135"/>
      <c r="J705" s="135"/>
      <c r="K705" s="135"/>
      <c r="L705" s="158"/>
      <c r="M705" s="158"/>
      <c r="N705" s="158"/>
      <c r="O705" s="158"/>
      <c r="P705" s="158"/>
      <c r="Q705" s="158"/>
      <c r="R705" s="158"/>
      <c r="S705" s="158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</row>
    <row r="706" ht="22.5" customHeight="1">
      <c r="A706" s="157"/>
      <c r="B706" s="158"/>
      <c r="C706" s="158"/>
      <c r="D706" s="158"/>
      <c r="E706" s="159"/>
      <c r="F706" s="158"/>
      <c r="G706" s="158"/>
      <c r="H706" s="135"/>
      <c r="I706" s="135"/>
      <c r="J706" s="135"/>
      <c r="K706" s="135"/>
      <c r="L706" s="158"/>
      <c r="M706" s="158"/>
      <c r="N706" s="158"/>
      <c r="O706" s="158"/>
      <c r="P706" s="158"/>
      <c r="Q706" s="158"/>
      <c r="R706" s="158"/>
      <c r="S706" s="158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</row>
    <row r="707" ht="22.5" customHeight="1">
      <c r="A707" s="157"/>
      <c r="B707" s="158"/>
      <c r="C707" s="158"/>
      <c r="D707" s="158"/>
      <c r="E707" s="159"/>
      <c r="F707" s="158"/>
      <c r="G707" s="158"/>
      <c r="H707" s="135"/>
      <c r="I707" s="135"/>
      <c r="J707" s="135"/>
      <c r="K707" s="135"/>
      <c r="L707" s="158"/>
      <c r="M707" s="158"/>
      <c r="N707" s="158"/>
      <c r="O707" s="158"/>
      <c r="P707" s="158"/>
      <c r="Q707" s="158"/>
      <c r="R707" s="158"/>
      <c r="S707" s="158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</row>
    <row r="708" ht="22.5" customHeight="1">
      <c r="A708" s="157"/>
      <c r="B708" s="158"/>
      <c r="C708" s="158"/>
      <c r="D708" s="158"/>
      <c r="E708" s="159"/>
      <c r="F708" s="158"/>
      <c r="G708" s="158"/>
      <c r="H708" s="135"/>
      <c r="I708" s="135"/>
      <c r="J708" s="135"/>
      <c r="K708" s="135"/>
      <c r="L708" s="158"/>
      <c r="M708" s="158"/>
      <c r="N708" s="158"/>
      <c r="O708" s="158"/>
      <c r="P708" s="158"/>
      <c r="Q708" s="158"/>
      <c r="R708" s="158"/>
      <c r="S708" s="158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</row>
    <row r="709" ht="22.5" customHeight="1">
      <c r="A709" s="157"/>
      <c r="B709" s="158"/>
      <c r="C709" s="158"/>
      <c r="D709" s="158"/>
      <c r="E709" s="159"/>
      <c r="F709" s="158"/>
      <c r="G709" s="158"/>
      <c r="H709" s="135"/>
      <c r="I709" s="135"/>
      <c r="J709" s="135"/>
      <c r="K709" s="135"/>
      <c r="L709" s="158"/>
      <c r="M709" s="158"/>
      <c r="N709" s="158"/>
      <c r="O709" s="158"/>
      <c r="P709" s="158"/>
      <c r="Q709" s="158"/>
      <c r="R709" s="158"/>
      <c r="S709" s="158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</row>
    <row r="710" ht="22.5" customHeight="1">
      <c r="A710" s="157"/>
      <c r="B710" s="158"/>
      <c r="C710" s="158"/>
      <c r="D710" s="158"/>
      <c r="E710" s="159"/>
      <c r="F710" s="158"/>
      <c r="G710" s="158"/>
      <c r="H710" s="135"/>
      <c r="I710" s="135"/>
      <c r="J710" s="135"/>
      <c r="K710" s="135"/>
      <c r="L710" s="158"/>
      <c r="M710" s="158"/>
      <c r="N710" s="158"/>
      <c r="O710" s="158"/>
      <c r="P710" s="158"/>
      <c r="Q710" s="158"/>
      <c r="R710" s="158"/>
      <c r="S710" s="158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</row>
    <row r="711" ht="22.5" customHeight="1">
      <c r="A711" s="157"/>
      <c r="B711" s="158"/>
      <c r="C711" s="158"/>
      <c r="D711" s="158"/>
      <c r="E711" s="159"/>
      <c r="F711" s="158"/>
      <c r="G711" s="158"/>
      <c r="H711" s="135"/>
      <c r="I711" s="135"/>
      <c r="J711" s="135"/>
      <c r="K711" s="135"/>
      <c r="L711" s="158"/>
      <c r="M711" s="158"/>
      <c r="N711" s="158"/>
      <c r="O711" s="158"/>
      <c r="P711" s="158"/>
      <c r="Q711" s="158"/>
      <c r="R711" s="158"/>
      <c r="S711" s="158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</row>
    <row r="712" ht="22.5" customHeight="1">
      <c r="A712" s="157"/>
      <c r="B712" s="158"/>
      <c r="C712" s="158"/>
      <c r="D712" s="158"/>
      <c r="E712" s="159"/>
      <c r="F712" s="158"/>
      <c r="G712" s="158"/>
      <c r="H712" s="135"/>
      <c r="I712" s="135"/>
      <c r="J712" s="135"/>
      <c r="K712" s="135"/>
      <c r="L712" s="158"/>
      <c r="M712" s="158"/>
      <c r="N712" s="158"/>
      <c r="O712" s="158"/>
      <c r="P712" s="158"/>
      <c r="Q712" s="158"/>
      <c r="R712" s="158"/>
      <c r="S712" s="158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</row>
    <row r="713" ht="22.5" customHeight="1">
      <c r="A713" s="157"/>
      <c r="B713" s="158"/>
      <c r="C713" s="158"/>
      <c r="D713" s="158"/>
      <c r="E713" s="159"/>
      <c r="F713" s="158"/>
      <c r="G713" s="158"/>
      <c r="H713" s="135"/>
      <c r="I713" s="135"/>
      <c r="J713" s="135"/>
      <c r="K713" s="135"/>
      <c r="L713" s="158"/>
      <c r="M713" s="158"/>
      <c r="N713" s="158"/>
      <c r="O713" s="158"/>
      <c r="P713" s="158"/>
      <c r="Q713" s="158"/>
      <c r="R713" s="158"/>
      <c r="S713" s="158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</row>
    <row r="714" ht="22.5" customHeight="1">
      <c r="A714" s="157"/>
      <c r="B714" s="158"/>
      <c r="C714" s="158"/>
      <c r="D714" s="158"/>
      <c r="E714" s="159"/>
      <c r="F714" s="158"/>
      <c r="G714" s="158"/>
      <c r="H714" s="135"/>
      <c r="I714" s="135"/>
      <c r="J714" s="135"/>
      <c r="K714" s="135"/>
      <c r="L714" s="158"/>
      <c r="M714" s="158"/>
      <c r="N714" s="158"/>
      <c r="O714" s="158"/>
      <c r="P714" s="158"/>
      <c r="Q714" s="158"/>
      <c r="R714" s="158"/>
      <c r="S714" s="158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</row>
    <row r="715" ht="22.5" customHeight="1">
      <c r="A715" s="157"/>
      <c r="B715" s="158"/>
      <c r="C715" s="158"/>
      <c r="D715" s="158"/>
      <c r="E715" s="159"/>
      <c r="F715" s="158"/>
      <c r="G715" s="158"/>
      <c r="H715" s="135"/>
      <c r="I715" s="135"/>
      <c r="J715" s="135"/>
      <c r="K715" s="135"/>
      <c r="L715" s="158"/>
      <c r="M715" s="158"/>
      <c r="N715" s="158"/>
      <c r="O715" s="158"/>
      <c r="P715" s="158"/>
      <c r="Q715" s="158"/>
      <c r="R715" s="158"/>
      <c r="S715" s="158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</row>
    <row r="716" ht="22.5" customHeight="1">
      <c r="A716" s="157"/>
      <c r="B716" s="158"/>
      <c r="C716" s="158"/>
      <c r="D716" s="158"/>
      <c r="E716" s="159"/>
      <c r="F716" s="158"/>
      <c r="G716" s="158"/>
      <c r="H716" s="135"/>
      <c r="I716" s="135"/>
      <c r="J716" s="135"/>
      <c r="K716" s="135"/>
      <c r="L716" s="158"/>
      <c r="M716" s="158"/>
      <c r="N716" s="158"/>
      <c r="O716" s="158"/>
      <c r="P716" s="158"/>
      <c r="Q716" s="158"/>
      <c r="R716" s="158"/>
      <c r="S716" s="158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</row>
    <row r="717" ht="22.5" customHeight="1">
      <c r="A717" s="157"/>
      <c r="B717" s="158"/>
      <c r="C717" s="158"/>
      <c r="D717" s="158"/>
      <c r="E717" s="159"/>
      <c r="F717" s="158"/>
      <c r="G717" s="158"/>
      <c r="H717" s="135"/>
      <c r="I717" s="135"/>
      <c r="J717" s="135"/>
      <c r="K717" s="135"/>
      <c r="L717" s="158"/>
      <c r="M717" s="158"/>
      <c r="N717" s="158"/>
      <c r="O717" s="158"/>
      <c r="P717" s="158"/>
      <c r="Q717" s="158"/>
      <c r="R717" s="158"/>
      <c r="S717" s="158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</row>
    <row r="718" ht="22.5" customHeight="1">
      <c r="A718" s="157"/>
      <c r="B718" s="158"/>
      <c r="C718" s="158"/>
      <c r="D718" s="158"/>
      <c r="E718" s="159"/>
      <c r="F718" s="158"/>
      <c r="G718" s="158"/>
      <c r="H718" s="135"/>
      <c r="I718" s="135"/>
      <c r="J718" s="135"/>
      <c r="K718" s="135"/>
      <c r="L718" s="158"/>
      <c r="M718" s="158"/>
      <c r="N718" s="158"/>
      <c r="O718" s="158"/>
      <c r="P718" s="158"/>
      <c r="Q718" s="158"/>
      <c r="R718" s="158"/>
      <c r="S718" s="158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</row>
    <row r="719" ht="22.5" customHeight="1">
      <c r="A719" s="157"/>
      <c r="B719" s="158"/>
      <c r="C719" s="158"/>
      <c r="D719" s="158"/>
      <c r="E719" s="159"/>
      <c r="F719" s="158"/>
      <c r="G719" s="158"/>
      <c r="H719" s="135"/>
      <c r="I719" s="135"/>
      <c r="J719" s="135"/>
      <c r="K719" s="135"/>
      <c r="L719" s="158"/>
      <c r="M719" s="158"/>
      <c r="N719" s="158"/>
      <c r="O719" s="158"/>
      <c r="P719" s="158"/>
      <c r="Q719" s="158"/>
      <c r="R719" s="158"/>
      <c r="S719" s="158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</row>
    <row r="720" ht="22.5" customHeight="1">
      <c r="A720" s="157"/>
      <c r="B720" s="158"/>
      <c r="C720" s="158"/>
      <c r="D720" s="158"/>
      <c r="E720" s="159"/>
      <c r="F720" s="158"/>
      <c r="G720" s="158"/>
      <c r="H720" s="135"/>
      <c r="I720" s="135"/>
      <c r="J720" s="135"/>
      <c r="K720" s="135"/>
      <c r="L720" s="158"/>
      <c r="M720" s="158"/>
      <c r="N720" s="158"/>
      <c r="O720" s="158"/>
      <c r="P720" s="158"/>
      <c r="Q720" s="158"/>
      <c r="R720" s="158"/>
      <c r="S720" s="158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</row>
    <row r="721" ht="22.5" customHeight="1">
      <c r="A721" s="157"/>
      <c r="B721" s="158"/>
      <c r="C721" s="158"/>
      <c r="D721" s="158"/>
      <c r="E721" s="159"/>
      <c r="F721" s="158"/>
      <c r="G721" s="158"/>
      <c r="H721" s="135"/>
      <c r="I721" s="135"/>
      <c r="J721" s="135"/>
      <c r="K721" s="135"/>
      <c r="L721" s="158"/>
      <c r="M721" s="158"/>
      <c r="N721" s="158"/>
      <c r="O721" s="158"/>
      <c r="P721" s="158"/>
      <c r="Q721" s="158"/>
      <c r="R721" s="158"/>
      <c r="S721" s="158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</row>
    <row r="722" ht="22.5" customHeight="1">
      <c r="A722" s="157"/>
      <c r="B722" s="158"/>
      <c r="C722" s="158"/>
      <c r="D722" s="158"/>
      <c r="E722" s="159"/>
      <c r="F722" s="158"/>
      <c r="G722" s="158"/>
      <c r="H722" s="135"/>
      <c r="I722" s="135"/>
      <c r="J722" s="135"/>
      <c r="K722" s="135"/>
      <c r="L722" s="158"/>
      <c r="M722" s="158"/>
      <c r="N722" s="158"/>
      <c r="O722" s="158"/>
      <c r="P722" s="158"/>
      <c r="Q722" s="158"/>
      <c r="R722" s="158"/>
      <c r="S722" s="158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</row>
    <row r="723" ht="22.5" customHeight="1">
      <c r="A723" s="157"/>
      <c r="B723" s="158"/>
      <c r="C723" s="158"/>
      <c r="D723" s="158"/>
      <c r="E723" s="159"/>
      <c r="F723" s="158"/>
      <c r="G723" s="158"/>
      <c r="H723" s="135"/>
      <c r="I723" s="135"/>
      <c r="J723" s="135"/>
      <c r="K723" s="135"/>
      <c r="L723" s="158"/>
      <c r="M723" s="158"/>
      <c r="N723" s="158"/>
      <c r="O723" s="158"/>
      <c r="P723" s="158"/>
      <c r="Q723" s="158"/>
      <c r="R723" s="158"/>
      <c r="S723" s="158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</row>
    <row r="724" ht="22.5" customHeight="1">
      <c r="A724" s="157"/>
      <c r="B724" s="158"/>
      <c r="C724" s="158"/>
      <c r="D724" s="158"/>
      <c r="E724" s="159"/>
      <c r="F724" s="158"/>
      <c r="G724" s="158"/>
      <c r="H724" s="135"/>
      <c r="I724" s="135"/>
      <c r="J724" s="135"/>
      <c r="K724" s="135"/>
      <c r="L724" s="158"/>
      <c r="M724" s="158"/>
      <c r="N724" s="158"/>
      <c r="O724" s="158"/>
      <c r="P724" s="158"/>
      <c r="Q724" s="158"/>
      <c r="R724" s="158"/>
      <c r="S724" s="158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</row>
    <row r="725" ht="22.5" customHeight="1">
      <c r="A725" s="157"/>
      <c r="B725" s="158"/>
      <c r="C725" s="158"/>
      <c r="D725" s="158"/>
      <c r="E725" s="159"/>
      <c r="F725" s="158"/>
      <c r="G725" s="158"/>
      <c r="H725" s="135"/>
      <c r="I725" s="135"/>
      <c r="J725" s="135"/>
      <c r="K725" s="135"/>
      <c r="L725" s="158"/>
      <c r="M725" s="158"/>
      <c r="N725" s="158"/>
      <c r="O725" s="158"/>
      <c r="P725" s="158"/>
      <c r="Q725" s="158"/>
      <c r="R725" s="158"/>
      <c r="S725" s="158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</row>
    <row r="726" ht="22.5" customHeight="1">
      <c r="A726" s="157"/>
      <c r="B726" s="158"/>
      <c r="C726" s="158"/>
      <c r="D726" s="158"/>
      <c r="E726" s="159"/>
      <c r="F726" s="158"/>
      <c r="G726" s="158"/>
      <c r="H726" s="135"/>
      <c r="I726" s="135"/>
      <c r="J726" s="135"/>
      <c r="K726" s="135"/>
      <c r="L726" s="158"/>
      <c r="M726" s="158"/>
      <c r="N726" s="158"/>
      <c r="O726" s="158"/>
      <c r="P726" s="158"/>
      <c r="Q726" s="158"/>
      <c r="R726" s="158"/>
      <c r="S726" s="158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</row>
    <row r="727" ht="22.5" customHeight="1">
      <c r="A727" s="157"/>
      <c r="B727" s="158"/>
      <c r="C727" s="158"/>
      <c r="D727" s="158"/>
      <c r="E727" s="159"/>
      <c r="F727" s="158"/>
      <c r="G727" s="158"/>
      <c r="H727" s="135"/>
      <c r="I727" s="135"/>
      <c r="J727" s="135"/>
      <c r="K727" s="135"/>
      <c r="L727" s="158"/>
      <c r="M727" s="158"/>
      <c r="N727" s="158"/>
      <c r="O727" s="158"/>
      <c r="P727" s="158"/>
      <c r="Q727" s="158"/>
      <c r="R727" s="158"/>
      <c r="S727" s="158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</row>
    <row r="728" ht="22.5" customHeight="1">
      <c r="A728" s="157"/>
      <c r="B728" s="158"/>
      <c r="C728" s="158"/>
      <c r="D728" s="158"/>
      <c r="E728" s="159"/>
      <c r="F728" s="158"/>
      <c r="G728" s="158"/>
      <c r="H728" s="135"/>
      <c r="I728" s="135"/>
      <c r="J728" s="135"/>
      <c r="K728" s="135"/>
      <c r="L728" s="158"/>
      <c r="M728" s="158"/>
      <c r="N728" s="158"/>
      <c r="O728" s="158"/>
      <c r="P728" s="158"/>
      <c r="Q728" s="158"/>
      <c r="R728" s="158"/>
      <c r="S728" s="158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</row>
    <row r="729" ht="22.5" customHeight="1">
      <c r="A729" s="157"/>
      <c r="B729" s="158"/>
      <c r="C729" s="158"/>
      <c r="D729" s="158"/>
      <c r="E729" s="159"/>
      <c r="F729" s="158"/>
      <c r="G729" s="158"/>
      <c r="H729" s="135"/>
      <c r="I729" s="135"/>
      <c r="J729" s="135"/>
      <c r="K729" s="135"/>
      <c r="L729" s="158"/>
      <c r="M729" s="158"/>
      <c r="N729" s="158"/>
      <c r="O729" s="158"/>
      <c r="P729" s="158"/>
      <c r="Q729" s="158"/>
      <c r="R729" s="158"/>
      <c r="S729" s="158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</row>
    <row r="730" ht="22.5" customHeight="1">
      <c r="A730" s="157"/>
      <c r="B730" s="158"/>
      <c r="C730" s="158"/>
      <c r="D730" s="158"/>
      <c r="E730" s="159"/>
      <c r="F730" s="158"/>
      <c r="G730" s="158"/>
      <c r="H730" s="135"/>
      <c r="I730" s="135"/>
      <c r="J730" s="135"/>
      <c r="K730" s="135"/>
      <c r="L730" s="158"/>
      <c r="M730" s="158"/>
      <c r="N730" s="158"/>
      <c r="O730" s="158"/>
      <c r="P730" s="158"/>
      <c r="Q730" s="158"/>
      <c r="R730" s="158"/>
      <c r="S730" s="158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</row>
    <row r="731" ht="22.5" customHeight="1">
      <c r="A731" s="157"/>
      <c r="B731" s="158"/>
      <c r="C731" s="158"/>
      <c r="D731" s="158"/>
      <c r="E731" s="159"/>
      <c r="F731" s="158"/>
      <c r="G731" s="158"/>
      <c r="H731" s="135"/>
      <c r="I731" s="135"/>
      <c r="J731" s="135"/>
      <c r="K731" s="135"/>
      <c r="L731" s="158"/>
      <c r="M731" s="158"/>
      <c r="N731" s="158"/>
      <c r="O731" s="158"/>
      <c r="P731" s="158"/>
      <c r="Q731" s="158"/>
      <c r="R731" s="158"/>
      <c r="S731" s="158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</row>
    <row r="732" ht="22.5" customHeight="1">
      <c r="A732" s="157"/>
      <c r="B732" s="158"/>
      <c r="C732" s="158"/>
      <c r="D732" s="158"/>
      <c r="E732" s="159"/>
      <c r="F732" s="158"/>
      <c r="G732" s="158"/>
      <c r="H732" s="135"/>
      <c r="I732" s="135"/>
      <c r="J732" s="135"/>
      <c r="K732" s="135"/>
      <c r="L732" s="158"/>
      <c r="M732" s="158"/>
      <c r="N732" s="158"/>
      <c r="O732" s="158"/>
      <c r="P732" s="158"/>
      <c r="Q732" s="158"/>
      <c r="R732" s="158"/>
      <c r="S732" s="158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</row>
    <row r="733" ht="22.5" customHeight="1">
      <c r="A733" s="157"/>
      <c r="B733" s="158"/>
      <c r="C733" s="158"/>
      <c r="D733" s="158"/>
      <c r="E733" s="159"/>
      <c r="F733" s="158"/>
      <c r="G733" s="158"/>
      <c r="H733" s="135"/>
      <c r="I733" s="135"/>
      <c r="J733" s="135"/>
      <c r="K733" s="135"/>
      <c r="L733" s="158"/>
      <c r="M733" s="158"/>
      <c r="N733" s="158"/>
      <c r="O733" s="158"/>
      <c r="P733" s="158"/>
      <c r="Q733" s="158"/>
      <c r="R733" s="158"/>
      <c r="S733" s="158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</row>
    <row r="734" ht="15.75" customHeight="1">
      <c r="A734" s="298"/>
      <c r="B734" s="299"/>
      <c r="C734" s="299"/>
      <c r="D734" s="299"/>
      <c r="E734" s="300"/>
      <c r="F734" s="299"/>
      <c r="G734" s="299"/>
      <c r="H734" s="301"/>
      <c r="I734" s="301"/>
      <c r="J734" s="301"/>
      <c r="K734" s="301"/>
      <c r="L734" s="299"/>
      <c r="M734" s="299"/>
      <c r="N734" s="299"/>
      <c r="O734" s="299"/>
      <c r="P734" s="299"/>
      <c r="Q734" s="299"/>
      <c r="R734" s="299"/>
      <c r="S734" s="29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</row>
    <row r="735" ht="15.75" customHeight="1">
      <c r="A735" s="298"/>
      <c r="B735" s="299"/>
      <c r="C735" s="299"/>
      <c r="D735" s="299"/>
      <c r="E735" s="300"/>
      <c r="F735" s="299"/>
      <c r="G735" s="299"/>
      <c r="H735" s="301"/>
      <c r="I735" s="301"/>
      <c r="J735" s="301"/>
      <c r="K735" s="301"/>
      <c r="L735" s="299"/>
      <c r="M735" s="299"/>
      <c r="N735" s="299"/>
      <c r="O735" s="299"/>
      <c r="P735" s="299"/>
      <c r="Q735" s="299"/>
      <c r="R735" s="299"/>
      <c r="S735" s="29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</row>
    <row r="736" ht="15.75" customHeight="1">
      <c r="A736" s="298"/>
      <c r="B736" s="299"/>
      <c r="C736" s="299"/>
      <c r="D736" s="299"/>
      <c r="E736" s="300"/>
      <c r="F736" s="299"/>
      <c r="G736" s="299"/>
      <c r="H736" s="301"/>
      <c r="I736" s="301"/>
      <c r="J736" s="301"/>
      <c r="K736" s="301"/>
      <c r="L736" s="299"/>
      <c r="M736" s="299"/>
      <c r="N736" s="299"/>
      <c r="O736" s="299"/>
      <c r="P736" s="299"/>
      <c r="Q736" s="299"/>
      <c r="R736" s="299"/>
      <c r="S736" s="29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</row>
    <row r="737" ht="15.75" customHeight="1">
      <c r="A737" s="298"/>
      <c r="B737" s="299"/>
      <c r="C737" s="299"/>
      <c r="D737" s="299"/>
      <c r="E737" s="300"/>
      <c r="F737" s="299"/>
      <c r="G737" s="299"/>
      <c r="H737" s="301"/>
      <c r="I737" s="301"/>
      <c r="J737" s="301"/>
      <c r="K737" s="301"/>
      <c r="L737" s="299"/>
      <c r="M737" s="299"/>
      <c r="N737" s="299"/>
      <c r="O737" s="299"/>
      <c r="P737" s="299"/>
      <c r="Q737" s="299"/>
      <c r="R737" s="299"/>
      <c r="S737" s="29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</row>
    <row r="738" ht="15.75" customHeight="1">
      <c r="A738" s="298"/>
      <c r="B738" s="299"/>
      <c r="C738" s="299"/>
      <c r="D738" s="299"/>
      <c r="E738" s="300"/>
      <c r="F738" s="299"/>
      <c r="G738" s="299"/>
      <c r="H738" s="301"/>
      <c r="I738" s="301"/>
      <c r="J738" s="301"/>
      <c r="K738" s="301"/>
      <c r="L738" s="299"/>
      <c r="M738" s="299"/>
      <c r="N738" s="299"/>
      <c r="O738" s="299"/>
      <c r="P738" s="299"/>
      <c r="Q738" s="299"/>
      <c r="R738" s="299"/>
      <c r="S738" s="29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</row>
    <row r="739" ht="15.75" customHeight="1">
      <c r="A739" s="298"/>
      <c r="B739" s="299"/>
      <c r="C739" s="299"/>
      <c r="D739" s="299"/>
      <c r="E739" s="300"/>
      <c r="F739" s="299"/>
      <c r="G739" s="299"/>
      <c r="H739" s="301"/>
      <c r="I739" s="301"/>
      <c r="J739" s="301"/>
      <c r="K739" s="301"/>
      <c r="L739" s="299"/>
      <c r="M739" s="299"/>
      <c r="N739" s="299"/>
      <c r="O739" s="299"/>
      <c r="P739" s="299"/>
      <c r="Q739" s="299"/>
      <c r="R739" s="299"/>
      <c r="S739" s="29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</row>
    <row r="740" ht="15.75" customHeight="1">
      <c r="A740" s="298"/>
      <c r="B740" s="299"/>
      <c r="C740" s="299"/>
      <c r="D740" s="299"/>
      <c r="E740" s="300"/>
      <c r="F740" s="299"/>
      <c r="G740" s="299"/>
      <c r="H740" s="301"/>
      <c r="I740" s="301"/>
      <c r="J740" s="301"/>
      <c r="K740" s="301"/>
      <c r="L740" s="299"/>
      <c r="M740" s="299"/>
      <c r="N740" s="299"/>
      <c r="O740" s="299"/>
      <c r="P740" s="299"/>
      <c r="Q740" s="299"/>
      <c r="R740" s="299"/>
      <c r="S740" s="29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</row>
    <row r="741" ht="15.75" customHeight="1">
      <c r="A741" s="298"/>
      <c r="B741" s="299"/>
      <c r="C741" s="299"/>
      <c r="D741" s="299"/>
      <c r="E741" s="300"/>
      <c r="F741" s="299"/>
      <c r="G741" s="299"/>
      <c r="H741" s="301"/>
      <c r="I741" s="301"/>
      <c r="J741" s="301"/>
      <c r="K741" s="301"/>
      <c r="L741" s="299"/>
      <c r="M741" s="299"/>
      <c r="N741" s="299"/>
      <c r="O741" s="299"/>
      <c r="P741" s="299"/>
      <c r="Q741" s="299"/>
      <c r="R741" s="299"/>
      <c r="S741" s="29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</row>
    <row r="742" ht="15.75" customHeight="1">
      <c r="A742" s="298"/>
      <c r="B742" s="299"/>
      <c r="C742" s="299"/>
      <c r="D742" s="299"/>
      <c r="E742" s="300"/>
      <c r="F742" s="299"/>
      <c r="G742" s="299"/>
      <c r="H742" s="301"/>
      <c r="I742" s="301"/>
      <c r="J742" s="301"/>
      <c r="K742" s="301"/>
      <c r="L742" s="299"/>
      <c r="M742" s="299"/>
      <c r="N742" s="299"/>
      <c r="O742" s="299"/>
      <c r="P742" s="299"/>
      <c r="Q742" s="299"/>
      <c r="R742" s="299"/>
      <c r="S742" s="29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</row>
    <row r="743" ht="15.75" customHeight="1">
      <c r="A743" s="298"/>
      <c r="B743" s="299"/>
      <c r="C743" s="299"/>
      <c r="D743" s="299"/>
      <c r="E743" s="300"/>
      <c r="F743" s="299"/>
      <c r="G743" s="299"/>
      <c r="H743" s="301"/>
      <c r="I743" s="301"/>
      <c r="J743" s="301"/>
      <c r="K743" s="301"/>
      <c r="L743" s="299"/>
      <c r="M743" s="299"/>
      <c r="N743" s="299"/>
      <c r="O743" s="299"/>
      <c r="P743" s="299"/>
      <c r="Q743" s="299"/>
      <c r="R743" s="299"/>
      <c r="S743" s="29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</row>
    <row r="744" ht="15.75" customHeight="1">
      <c r="A744" s="298"/>
      <c r="B744" s="299"/>
      <c r="C744" s="299"/>
      <c r="D744" s="299"/>
      <c r="E744" s="300"/>
      <c r="F744" s="299"/>
      <c r="G744" s="299"/>
      <c r="H744" s="301"/>
      <c r="I744" s="301"/>
      <c r="J744" s="301"/>
      <c r="K744" s="301"/>
      <c r="L744" s="299"/>
      <c r="M744" s="299"/>
      <c r="N744" s="299"/>
      <c r="O744" s="299"/>
      <c r="P744" s="299"/>
      <c r="Q744" s="299"/>
      <c r="R744" s="299"/>
      <c r="S744" s="29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</row>
    <row r="745" ht="15.75" customHeight="1">
      <c r="A745" s="298"/>
      <c r="B745" s="299"/>
      <c r="C745" s="299"/>
      <c r="D745" s="299"/>
      <c r="E745" s="300"/>
      <c r="F745" s="299"/>
      <c r="G745" s="299"/>
      <c r="H745" s="301"/>
      <c r="I745" s="301"/>
      <c r="J745" s="301"/>
      <c r="K745" s="301"/>
      <c r="L745" s="299"/>
      <c r="M745" s="299"/>
      <c r="N745" s="299"/>
      <c r="O745" s="299"/>
      <c r="P745" s="299"/>
      <c r="Q745" s="299"/>
      <c r="R745" s="299"/>
      <c r="S745" s="29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</row>
    <row r="746" ht="15.75" customHeight="1">
      <c r="A746" s="298"/>
      <c r="B746" s="299"/>
      <c r="C746" s="299"/>
      <c r="D746" s="299"/>
      <c r="E746" s="300"/>
      <c r="F746" s="299"/>
      <c r="G746" s="299"/>
      <c r="H746" s="301"/>
      <c r="I746" s="301"/>
      <c r="J746" s="301"/>
      <c r="K746" s="301"/>
      <c r="L746" s="299"/>
      <c r="M746" s="299"/>
      <c r="N746" s="299"/>
      <c r="O746" s="299"/>
      <c r="P746" s="299"/>
      <c r="Q746" s="299"/>
      <c r="R746" s="299"/>
      <c r="S746" s="29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</row>
    <row r="747" ht="15.75" customHeight="1">
      <c r="A747" s="298"/>
      <c r="B747" s="299"/>
      <c r="C747" s="299"/>
      <c r="D747" s="299"/>
      <c r="E747" s="300"/>
      <c r="F747" s="299"/>
      <c r="G747" s="299"/>
      <c r="H747" s="301"/>
      <c r="I747" s="301"/>
      <c r="J747" s="301"/>
      <c r="K747" s="301"/>
      <c r="L747" s="299"/>
      <c r="M747" s="299"/>
      <c r="N747" s="299"/>
      <c r="O747" s="299"/>
      <c r="P747" s="299"/>
      <c r="Q747" s="299"/>
      <c r="R747" s="299"/>
      <c r="S747" s="29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</row>
    <row r="748" ht="15.75" customHeight="1">
      <c r="A748" s="298"/>
      <c r="B748" s="299"/>
      <c r="C748" s="299"/>
      <c r="D748" s="299"/>
      <c r="E748" s="300"/>
      <c r="F748" s="299"/>
      <c r="G748" s="299"/>
      <c r="H748" s="301"/>
      <c r="I748" s="301"/>
      <c r="J748" s="301"/>
      <c r="K748" s="301"/>
      <c r="L748" s="299"/>
      <c r="M748" s="299"/>
      <c r="N748" s="299"/>
      <c r="O748" s="299"/>
      <c r="P748" s="299"/>
      <c r="Q748" s="299"/>
      <c r="R748" s="299"/>
      <c r="S748" s="29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</row>
    <row r="749" ht="15.75" customHeight="1">
      <c r="A749" s="298"/>
      <c r="B749" s="299"/>
      <c r="C749" s="299"/>
      <c r="D749" s="299"/>
      <c r="E749" s="300"/>
      <c r="F749" s="299"/>
      <c r="G749" s="299"/>
      <c r="H749" s="301"/>
      <c r="I749" s="301"/>
      <c r="J749" s="301"/>
      <c r="K749" s="301"/>
      <c r="L749" s="299"/>
      <c r="M749" s="299"/>
      <c r="N749" s="299"/>
      <c r="O749" s="299"/>
      <c r="P749" s="299"/>
      <c r="Q749" s="299"/>
      <c r="R749" s="299"/>
      <c r="S749" s="29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</row>
    <row r="750" ht="15.75" customHeight="1">
      <c r="A750" s="298"/>
      <c r="B750" s="299"/>
      <c r="C750" s="299"/>
      <c r="D750" s="299"/>
      <c r="E750" s="300"/>
      <c r="F750" s="299"/>
      <c r="G750" s="299"/>
      <c r="H750" s="301"/>
      <c r="I750" s="301"/>
      <c r="J750" s="301"/>
      <c r="K750" s="301"/>
      <c r="L750" s="299"/>
      <c r="M750" s="299"/>
      <c r="N750" s="299"/>
      <c r="O750" s="299"/>
      <c r="P750" s="299"/>
      <c r="Q750" s="299"/>
      <c r="R750" s="299"/>
      <c r="S750" s="29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</row>
    <row r="751" ht="15.75" customHeight="1">
      <c r="A751" s="298"/>
      <c r="B751" s="299"/>
      <c r="C751" s="299"/>
      <c r="D751" s="299"/>
      <c r="E751" s="300"/>
      <c r="F751" s="299"/>
      <c r="G751" s="299"/>
      <c r="H751" s="301"/>
      <c r="I751" s="301"/>
      <c r="J751" s="301"/>
      <c r="K751" s="301"/>
      <c r="L751" s="299"/>
      <c r="M751" s="299"/>
      <c r="N751" s="299"/>
      <c r="O751" s="299"/>
      <c r="P751" s="299"/>
      <c r="Q751" s="299"/>
      <c r="R751" s="299"/>
      <c r="S751" s="29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</row>
    <row r="752" ht="15.75" customHeight="1">
      <c r="A752" s="298"/>
      <c r="B752" s="299"/>
      <c r="C752" s="299"/>
      <c r="D752" s="299"/>
      <c r="E752" s="300"/>
      <c r="F752" s="299"/>
      <c r="G752" s="299"/>
      <c r="H752" s="301"/>
      <c r="I752" s="301"/>
      <c r="J752" s="301"/>
      <c r="K752" s="301"/>
      <c r="L752" s="299"/>
      <c r="M752" s="299"/>
      <c r="N752" s="299"/>
      <c r="O752" s="299"/>
      <c r="P752" s="299"/>
      <c r="Q752" s="299"/>
      <c r="R752" s="299"/>
      <c r="S752" s="29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</row>
    <row r="753" ht="15.75" customHeight="1">
      <c r="A753" s="298"/>
      <c r="B753" s="299"/>
      <c r="C753" s="299"/>
      <c r="D753" s="299"/>
      <c r="E753" s="300"/>
      <c r="F753" s="299"/>
      <c r="G753" s="299"/>
      <c r="H753" s="301"/>
      <c r="I753" s="301"/>
      <c r="J753" s="301"/>
      <c r="K753" s="301"/>
      <c r="L753" s="299"/>
      <c r="M753" s="299"/>
      <c r="N753" s="299"/>
      <c r="O753" s="299"/>
      <c r="P753" s="299"/>
      <c r="Q753" s="299"/>
      <c r="R753" s="299"/>
      <c r="S753" s="29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</row>
    <row r="754" ht="15.75" customHeight="1">
      <c r="A754" s="298"/>
      <c r="B754" s="299"/>
      <c r="C754" s="299"/>
      <c r="D754" s="299"/>
      <c r="E754" s="300"/>
      <c r="F754" s="299"/>
      <c r="G754" s="299"/>
      <c r="H754" s="301"/>
      <c r="I754" s="301"/>
      <c r="J754" s="301"/>
      <c r="K754" s="301"/>
      <c r="L754" s="299"/>
      <c r="M754" s="299"/>
      <c r="N754" s="299"/>
      <c r="O754" s="299"/>
      <c r="P754" s="299"/>
      <c r="Q754" s="299"/>
      <c r="R754" s="299"/>
      <c r="S754" s="29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</row>
    <row r="755" ht="15.75" customHeight="1">
      <c r="A755" s="298"/>
      <c r="B755" s="299"/>
      <c r="C755" s="299"/>
      <c r="D755" s="299"/>
      <c r="E755" s="300"/>
      <c r="F755" s="299"/>
      <c r="G755" s="299"/>
      <c r="H755" s="301"/>
      <c r="I755" s="301"/>
      <c r="J755" s="301"/>
      <c r="K755" s="301"/>
      <c r="L755" s="299"/>
      <c r="M755" s="299"/>
      <c r="N755" s="299"/>
      <c r="O755" s="299"/>
      <c r="P755" s="299"/>
      <c r="Q755" s="299"/>
      <c r="R755" s="299"/>
      <c r="S755" s="29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</row>
    <row r="756" ht="15.75" customHeight="1">
      <c r="A756" s="298"/>
      <c r="B756" s="299"/>
      <c r="C756" s="299"/>
      <c r="D756" s="299"/>
      <c r="E756" s="300"/>
      <c r="F756" s="299"/>
      <c r="G756" s="299"/>
      <c r="H756" s="301"/>
      <c r="I756" s="301"/>
      <c r="J756" s="301"/>
      <c r="K756" s="301"/>
      <c r="L756" s="299"/>
      <c r="M756" s="299"/>
      <c r="N756" s="299"/>
      <c r="O756" s="299"/>
      <c r="P756" s="299"/>
      <c r="Q756" s="299"/>
      <c r="R756" s="299"/>
      <c r="S756" s="29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</row>
    <row r="757" ht="15.75" customHeight="1">
      <c r="A757" s="298"/>
      <c r="B757" s="299"/>
      <c r="C757" s="299"/>
      <c r="D757" s="299"/>
      <c r="E757" s="300"/>
      <c r="F757" s="299"/>
      <c r="G757" s="299"/>
      <c r="H757" s="301"/>
      <c r="I757" s="301"/>
      <c r="J757" s="301"/>
      <c r="K757" s="301"/>
      <c r="L757" s="299"/>
      <c r="M757" s="299"/>
      <c r="N757" s="299"/>
      <c r="O757" s="299"/>
      <c r="P757" s="299"/>
      <c r="Q757" s="299"/>
      <c r="R757" s="299"/>
      <c r="S757" s="29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</row>
    <row r="758" ht="15.75" customHeight="1">
      <c r="A758" s="298"/>
      <c r="B758" s="299"/>
      <c r="C758" s="299"/>
      <c r="D758" s="299"/>
      <c r="E758" s="300"/>
      <c r="F758" s="299"/>
      <c r="G758" s="299"/>
      <c r="H758" s="301"/>
      <c r="I758" s="301"/>
      <c r="J758" s="301"/>
      <c r="K758" s="301"/>
      <c r="L758" s="299"/>
      <c r="M758" s="299"/>
      <c r="N758" s="299"/>
      <c r="O758" s="299"/>
      <c r="P758" s="299"/>
      <c r="Q758" s="299"/>
      <c r="R758" s="299"/>
      <c r="S758" s="29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</row>
    <row r="759" ht="15.75" customHeight="1">
      <c r="A759" s="298"/>
      <c r="B759" s="299"/>
      <c r="C759" s="299"/>
      <c r="D759" s="299"/>
      <c r="E759" s="300"/>
      <c r="F759" s="299"/>
      <c r="G759" s="299"/>
      <c r="H759" s="301"/>
      <c r="I759" s="301"/>
      <c r="J759" s="301"/>
      <c r="K759" s="301"/>
      <c r="L759" s="299"/>
      <c r="M759" s="299"/>
      <c r="N759" s="299"/>
      <c r="O759" s="299"/>
      <c r="P759" s="299"/>
      <c r="Q759" s="299"/>
      <c r="R759" s="299"/>
      <c r="S759" s="29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</row>
    <row r="760" ht="15.75" customHeight="1">
      <c r="A760" s="298"/>
      <c r="B760" s="299"/>
      <c r="C760" s="299"/>
      <c r="D760" s="299"/>
      <c r="E760" s="300"/>
      <c r="F760" s="299"/>
      <c r="G760" s="299"/>
      <c r="H760" s="301"/>
      <c r="I760" s="301"/>
      <c r="J760" s="301"/>
      <c r="K760" s="301"/>
      <c r="L760" s="299"/>
      <c r="M760" s="299"/>
      <c r="N760" s="299"/>
      <c r="O760" s="299"/>
      <c r="P760" s="299"/>
      <c r="Q760" s="299"/>
      <c r="R760" s="299"/>
      <c r="S760" s="29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</row>
    <row r="761" ht="15.75" customHeight="1">
      <c r="A761" s="298"/>
      <c r="B761" s="299"/>
      <c r="C761" s="299"/>
      <c r="D761" s="299"/>
      <c r="E761" s="300"/>
      <c r="F761" s="299"/>
      <c r="G761" s="299"/>
      <c r="H761" s="301"/>
      <c r="I761" s="301"/>
      <c r="J761" s="301"/>
      <c r="K761" s="301"/>
      <c r="L761" s="299"/>
      <c r="M761" s="299"/>
      <c r="N761" s="299"/>
      <c r="O761" s="299"/>
      <c r="P761" s="299"/>
      <c r="Q761" s="299"/>
      <c r="R761" s="299"/>
      <c r="S761" s="29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</row>
    <row r="762" ht="15.75" customHeight="1">
      <c r="A762" s="298"/>
      <c r="B762" s="299"/>
      <c r="C762" s="299"/>
      <c r="D762" s="299"/>
      <c r="E762" s="300"/>
      <c r="F762" s="299"/>
      <c r="G762" s="299"/>
      <c r="H762" s="301"/>
      <c r="I762" s="301"/>
      <c r="J762" s="301"/>
      <c r="K762" s="301"/>
      <c r="L762" s="299"/>
      <c r="M762" s="299"/>
      <c r="N762" s="299"/>
      <c r="O762" s="299"/>
      <c r="P762" s="299"/>
      <c r="Q762" s="299"/>
      <c r="R762" s="299"/>
      <c r="S762" s="29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</row>
    <row r="763" ht="15.75" customHeight="1">
      <c r="A763" s="298"/>
      <c r="B763" s="299"/>
      <c r="C763" s="299"/>
      <c r="D763" s="299"/>
      <c r="E763" s="300"/>
      <c r="F763" s="299"/>
      <c r="G763" s="299"/>
      <c r="H763" s="301"/>
      <c r="I763" s="301"/>
      <c r="J763" s="301"/>
      <c r="K763" s="301"/>
      <c r="L763" s="299"/>
      <c r="M763" s="299"/>
      <c r="N763" s="299"/>
      <c r="O763" s="299"/>
      <c r="P763" s="299"/>
      <c r="Q763" s="299"/>
      <c r="R763" s="299"/>
      <c r="S763" s="29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</row>
    <row r="764" ht="15.75" customHeight="1">
      <c r="A764" s="298"/>
      <c r="B764" s="299"/>
      <c r="C764" s="299"/>
      <c r="D764" s="299"/>
      <c r="E764" s="300"/>
      <c r="F764" s="299"/>
      <c r="G764" s="299"/>
      <c r="H764" s="301"/>
      <c r="I764" s="301"/>
      <c r="J764" s="301"/>
      <c r="K764" s="301"/>
      <c r="L764" s="299"/>
      <c r="M764" s="299"/>
      <c r="N764" s="299"/>
      <c r="O764" s="299"/>
      <c r="P764" s="299"/>
      <c r="Q764" s="299"/>
      <c r="R764" s="299"/>
      <c r="S764" s="29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</row>
    <row r="765" ht="15.75" customHeight="1">
      <c r="A765" s="298"/>
      <c r="B765" s="299"/>
      <c r="C765" s="299"/>
      <c r="D765" s="299"/>
      <c r="E765" s="300"/>
      <c r="F765" s="299"/>
      <c r="G765" s="299"/>
      <c r="H765" s="301"/>
      <c r="I765" s="301"/>
      <c r="J765" s="301"/>
      <c r="K765" s="301"/>
      <c r="L765" s="299"/>
      <c r="M765" s="299"/>
      <c r="N765" s="299"/>
      <c r="O765" s="299"/>
      <c r="P765" s="299"/>
      <c r="Q765" s="299"/>
      <c r="R765" s="299"/>
      <c r="S765" s="29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</row>
    <row r="766" ht="15.75" customHeight="1">
      <c r="A766" s="298"/>
      <c r="B766" s="299"/>
      <c r="C766" s="299"/>
      <c r="D766" s="299"/>
      <c r="E766" s="300"/>
      <c r="F766" s="299"/>
      <c r="G766" s="299"/>
      <c r="H766" s="301"/>
      <c r="I766" s="301"/>
      <c r="J766" s="301"/>
      <c r="K766" s="301"/>
      <c r="L766" s="299"/>
      <c r="M766" s="299"/>
      <c r="N766" s="299"/>
      <c r="O766" s="299"/>
      <c r="P766" s="299"/>
      <c r="Q766" s="299"/>
      <c r="R766" s="299"/>
      <c r="S766" s="29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</row>
    <row r="767" ht="15.75" customHeight="1">
      <c r="A767" s="298"/>
      <c r="B767" s="299"/>
      <c r="C767" s="299"/>
      <c r="D767" s="299"/>
      <c r="E767" s="300"/>
      <c r="F767" s="299"/>
      <c r="G767" s="299"/>
      <c r="H767" s="301"/>
      <c r="I767" s="301"/>
      <c r="J767" s="301"/>
      <c r="K767" s="301"/>
      <c r="L767" s="299"/>
      <c r="M767" s="299"/>
      <c r="N767" s="299"/>
      <c r="O767" s="299"/>
      <c r="P767" s="299"/>
      <c r="Q767" s="299"/>
      <c r="R767" s="299"/>
      <c r="S767" s="29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</row>
    <row r="768" ht="15.75" customHeight="1">
      <c r="A768" s="298"/>
      <c r="B768" s="299"/>
      <c r="C768" s="299"/>
      <c r="D768" s="299"/>
      <c r="E768" s="300"/>
      <c r="F768" s="299"/>
      <c r="G768" s="299"/>
      <c r="H768" s="301"/>
      <c r="I768" s="301"/>
      <c r="J768" s="301"/>
      <c r="K768" s="301"/>
      <c r="L768" s="299"/>
      <c r="M768" s="299"/>
      <c r="N768" s="299"/>
      <c r="O768" s="299"/>
      <c r="P768" s="299"/>
      <c r="Q768" s="299"/>
      <c r="R768" s="299"/>
      <c r="S768" s="29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</row>
    <row r="769" ht="15.75" customHeight="1">
      <c r="A769" s="298"/>
      <c r="B769" s="299"/>
      <c r="C769" s="299"/>
      <c r="D769" s="299"/>
      <c r="E769" s="300"/>
      <c r="F769" s="299"/>
      <c r="G769" s="299"/>
      <c r="H769" s="301"/>
      <c r="I769" s="301"/>
      <c r="J769" s="301"/>
      <c r="K769" s="301"/>
      <c r="L769" s="299"/>
      <c r="M769" s="299"/>
      <c r="N769" s="299"/>
      <c r="O769" s="299"/>
      <c r="P769" s="299"/>
      <c r="Q769" s="299"/>
      <c r="R769" s="299"/>
      <c r="S769" s="29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</row>
    <row r="770" ht="15.75" customHeight="1">
      <c r="A770" s="298"/>
      <c r="B770" s="299"/>
      <c r="C770" s="299"/>
      <c r="D770" s="299"/>
      <c r="E770" s="300"/>
      <c r="F770" s="299"/>
      <c r="G770" s="299"/>
      <c r="H770" s="301"/>
      <c r="I770" s="301"/>
      <c r="J770" s="301"/>
      <c r="K770" s="301"/>
      <c r="L770" s="299"/>
      <c r="M770" s="299"/>
      <c r="N770" s="299"/>
      <c r="O770" s="299"/>
      <c r="P770" s="299"/>
      <c r="Q770" s="299"/>
      <c r="R770" s="299"/>
      <c r="S770" s="29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</row>
    <row r="771" ht="15.75" customHeight="1">
      <c r="A771" s="298"/>
      <c r="B771" s="299"/>
      <c r="C771" s="299"/>
      <c r="D771" s="299"/>
      <c r="E771" s="300"/>
      <c r="F771" s="299"/>
      <c r="G771" s="299"/>
      <c r="H771" s="301"/>
      <c r="I771" s="301"/>
      <c r="J771" s="301"/>
      <c r="K771" s="301"/>
      <c r="L771" s="299"/>
      <c r="M771" s="299"/>
      <c r="N771" s="299"/>
      <c r="O771" s="299"/>
      <c r="P771" s="299"/>
      <c r="Q771" s="299"/>
      <c r="R771" s="299"/>
      <c r="S771" s="29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</row>
    <row r="772" ht="15.75" customHeight="1">
      <c r="A772" s="298"/>
      <c r="B772" s="299"/>
      <c r="C772" s="299"/>
      <c r="D772" s="299"/>
      <c r="E772" s="300"/>
      <c r="F772" s="299"/>
      <c r="G772" s="299"/>
      <c r="H772" s="301"/>
      <c r="I772" s="301"/>
      <c r="J772" s="301"/>
      <c r="K772" s="301"/>
      <c r="L772" s="299"/>
      <c r="M772" s="299"/>
      <c r="N772" s="299"/>
      <c r="O772" s="299"/>
      <c r="P772" s="299"/>
      <c r="Q772" s="299"/>
      <c r="R772" s="299"/>
      <c r="S772" s="29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</row>
    <row r="773" ht="15.75" customHeight="1">
      <c r="A773" s="298"/>
      <c r="B773" s="299"/>
      <c r="C773" s="299"/>
      <c r="D773" s="299"/>
      <c r="E773" s="300"/>
      <c r="F773" s="299"/>
      <c r="G773" s="299"/>
      <c r="H773" s="301"/>
      <c r="I773" s="301"/>
      <c r="J773" s="301"/>
      <c r="K773" s="301"/>
      <c r="L773" s="299"/>
      <c r="M773" s="299"/>
      <c r="N773" s="299"/>
      <c r="O773" s="299"/>
      <c r="P773" s="299"/>
      <c r="Q773" s="299"/>
      <c r="R773" s="299"/>
      <c r="S773" s="29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</row>
    <row r="774" ht="15.75" customHeight="1">
      <c r="A774" s="298"/>
      <c r="B774" s="299"/>
      <c r="C774" s="299"/>
      <c r="D774" s="299"/>
      <c r="E774" s="300"/>
      <c r="F774" s="299"/>
      <c r="G774" s="299"/>
      <c r="H774" s="301"/>
      <c r="I774" s="301"/>
      <c r="J774" s="301"/>
      <c r="K774" s="301"/>
      <c r="L774" s="299"/>
      <c r="M774" s="299"/>
      <c r="N774" s="299"/>
      <c r="O774" s="299"/>
      <c r="P774" s="299"/>
      <c r="Q774" s="299"/>
      <c r="R774" s="299"/>
      <c r="S774" s="29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</row>
    <row r="775" ht="15.75" customHeight="1">
      <c r="A775" s="298"/>
      <c r="B775" s="299"/>
      <c r="C775" s="299"/>
      <c r="D775" s="299"/>
      <c r="E775" s="300"/>
      <c r="F775" s="299"/>
      <c r="G775" s="299"/>
      <c r="H775" s="301"/>
      <c r="I775" s="301"/>
      <c r="J775" s="301"/>
      <c r="K775" s="301"/>
      <c r="L775" s="299"/>
      <c r="M775" s="299"/>
      <c r="N775" s="299"/>
      <c r="O775" s="299"/>
      <c r="P775" s="299"/>
      <c r="Q775" s="299"/>
      <c r="R775" s="299"/>
      <c r="S775" s="29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</row>
    <row r="776" ht="15.75" customHeight="1">
      <c r="A776" s="298"/>
      <c r="B776" s="299"/>
      <c r="C776" s="299"/>
      <c r="D776" s="299"/>
      <c r="E776" s="300"/>
      <c r="F776" s="299"/>
      <c r="G776" s="299"/>
      <c r="H776" s="301"/>
      <c r="I776" s="301"/>
      <c r="J776" s="301"/>
      <c r="K776" s="301"/>
      <c r="L776" s="299"/>
      <c r="M776" s="299"/>
      <c r="N776" s="299"/>
      <c r="O776" s="299"/>
      <c r="P776" s="299"/>
      <c r="Q776" s="299"/>
      <c r="R776" s="299"/>
      <c r="S776" s="29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</row>
    <row r="777" ht="15.75" customHeight="1">
      <c r="A777" s="298"/>
      <c r="B777" s="299"/>
      <c r="C777" s="299"/>
      <c r="D777" s="299"/>
      <c r="E777" s="300"/>
      <c r="F777" s="299"/>
      <c r="G777" s="299"/>
      <c r="H777" s="301"/>
      <c r="I777" s="301"/>
      <c r="J777" s="301"/>
      <c r="K777" s="301"/>
      <c r="L777" s="299"/>
      <c r="M777" s="299"/>
      <c r="N777" s="299"/>
      <c r="O777" s="299"/>
      <c r="P777" s="299"/>
      <c r="Q777" s="299"/>
      <c r="R777" s="299"/>
      <c r="S777" s="29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</row>
    <row r="778" ht="15.75" customHeight="1">
      <c r="A778" s="298"/>
      <c r="B778" s="299"/>
      <c r="C778" s="299"/>
      <c r="D778" s="299"/>
      <c r="E778" s="300"/>
      <c r="F778" s="299"/>
      <c r="G778" s="299"/>
      <c r="H778" s="301"/>
      <c r="I778" s="301"/>
      <c r="J778" s="301"/>
      <c r="K778" s="301"/>
      <c r="L778" s="299"/>
      <c r="M778" s="299"/>
      <c r="N778" s="299"/>
      <c r="O778" s="299"/>
      <c r="P778" s="299"/>
      <c r="Q778" s="299"/>
      <c r="R778" s="299"/>
      <c r="S778" s="29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</row>
    <row r="779" ht="15.75" customHeight="1">
      <c r="A779" s="298"/>
      <c r="B779" s="299"/>
      <c r="C779" s="299"/>
      <c r="D779" s="299"/>
      <c r="E779" s="300"/>
      <c r="F779" s="299"/>
      <c r="G779" s="299"/>
      <c r="H779" s="301"/>
      <c r="I779" s="301"/>
      <c r="J779" s="301"/>
      <c r="K779" s="301"/>
      <c r="L779" s="299"/>
      <c r="M779" s="299"/>
      <c r="N779" s="299"/>
      <c r="O779" s="299"/>
      <c r="P779" s="299"/>
      <c r="Q779" s="299"/>
      <c r="R779" s="299"/>
      <c r="S779" s="29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</row>
    <row r="780" ht="15.75" customHeight="1">
      <c r="A780" s="298"/>
      <c r="B780" s="299"/>
      <c r="C780" s="299"/>
      <c r="D780" s="299"/>
      <c r="E780" s="300"/>
      <c r="F780" s="299"/>
      <c r="G780" s="299"/>
      <c r="H780" s="301"/>
      <c r="I780" s="301"/>
      <c r="J780" s="301"/>
      <c r="K780" s="301"/>
      <c r="L780" s="299"/>
      <c r="M780" s="299"/>
      <c r="N780" s="299"/>
      <c r="O780" s="299"/>
      <c r="P780" s="299"/>
      <c r="Q780" s="299"/>
      <c r="R780" s="299"/>
      <c r="S780" s="29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</row>
    <row r="781" ht="15.75" customHeight="1">
      <c r="A781" s="298"/>
      <c r="B781" s="299"/>
      <c r="C781" s="299"/>
      <c r="D781" s="299"/>
      <c r="E781" s="300"/>
      <c r="F781" s="299"/>
      <c r="G781" s="299"/>
      <c r="H781" s="301"/>
      <c r="I781" s="301"/>
      <c r="J781" s="301"/>
      <c r="K781" s="301"/>
      <c r="L781" s="299"/>
      <c r="M781" s="299"/>
      <c r="N781" s="299"/>
      <c r="O781" s="299"/>
      <c r="P781" s="299"/>
      <c r="Q781" s="299"/>
      <c r="R781" s="299"/>
      <c r="S781" s="29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</row>
    <row r="782" ht="15.75" customHeight="1">
      <c r="A782" s="298"/>
      <c r="B782" s="299"/>
      <c r="C782" s="299"/>
      <c r="D782" s="299"/>
      <c r="E782" s="300"/>
      <c r="F782" s="299"/>
      <c r="G782" s="299"/>
      <c r="H782" s="301"/>
      <c r="I782" s="301"/>
      <c r="J782" s="301"/>
      <c r="K782" s="301"/>
      <c r="L782" s="299"/>
      <c r="M782" s="299"/>
      <c r="N782" s="299"/>
      <c r="O782" s="299"/>
      <c r="P782" s="299"/>
      <c r="Q782" s="299"/>
      <c r="R782" s="299"/>
      <c r="S782" s="29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</row>
    <row r="783" ht="15.75" customHeight="1">
      <c r="A783" s="298"/>
      <c r="B783" s="299"/>
      <c r="C783" s="299"/>
      <c r="D783" s="299"/>
      <c r="E783" s="300"/>
      <c r="F783" s="299"/>
      <c r="G783" s="299"/>
      <c r="H783" s="301"/>
      <c r="I783" s="301"/>
      <c r="J783" s="301"/>
      <c r="K783" s="301"/>
      <c r="L783" s="299"/>
      <c r="M783" s="299"/>
      <c r="N783" s="299"/>
      <c r="O783" s="299"/>
      <c r="P783" s="299"/>
      <c r="Q783" s="299"/>
      <c r="R783" s="299"/>
      <c r="S783" s="29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</row>
    <row r="784" ht="15.75" customHeight="1">
      <c r="A784" s="298"/>
      <c r="B784" s="299"/>
      <c r="C784" s="299"/>
      <c r="D784" s="299"/>
      <c r="E784" s="300"/>
      <c r="F784" s="299"/>
      <c r="G784" s="299"/>
      <c r="H784" s="301"/>
      <c r="I784" s="301"/>
      <c r="J784" s="301"/>
      <c r="K784" s="301"/>
      <c r="L784" s="299"/>
      <c r="M784" s="299"/>
      <c r="N784" s="299"/>
      <c r="O784" s="299"/>
      <c r="P784" s="299"/>
      <c r="Q784" s="299"/>
      <c r="R784" s="299"/>
      <c r="S784" s="29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</row>
    <row r="785" ht="15.75" customHeight="1">
      <c r="A785" s="298"/>
      <c r="B785" s="299"/>
      <c r="C785" s="299"/>
      <c r="D785" s="299"/>
      <c r="E785" s="300"/>
      <c r="F785" s="299"/>
      <c r="G785" s="299"/>
      <c r="H785" s="301"/>
      <c r="I785" s="301"/>
      <c r="J785" s="301"/>
      <c r="K785" s="301"/>
      <c r="L785" s="299"/>
      <c r="M785" s="299"/>
      <c r="N785" s="299"/>
      <c r="O785" s="299"/>
      <c r="P785" s="299"/>
      <c r="Q785" s="299"/>
      <c r="R785" s="299"/>
      <c r="S785" s="29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</row>
    <row r="786" ht="15.75" customHeight="1">
      <c r="A786" s="298"/>
      <c r="B786" s="299"/>
      <c r="C786" s="299"/>
      <c r="D786" s="299"/>
      <c r="E786" s="300"/>
      <c r="F786" s="299"/>
      <c r="G786" s="299"/>
      <c r="H786" s="301"/>
      <c r="I786" s="301"/>
      <c r="J786" s="301"/>
      <c r="K786" s="301"/>
      <c r="L786" s="299"/>
      <c r="M786" s="299"/>
      <c r="N786" s="299"/>
      <c r="O786" s="299"/>
      <c r="P786" s="299"/>
      <c r="Q786" s="299"/>
      <c r="R786" s="299"/>
      <c r="S786" s="29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</row>
    <row r="787" ht="15.75" customHeight="1">
      <c r="A787" s="298"/>
      <c r="B787" s="299"/>
      <c r="C787" s="299"/>
      <c r="D787" s="299"/>
      <c r="E787" s="300"/>
      <c r="F787" s="299"/>
      <c r="G787" s="299"/>
      <c r="H787" s="301"/>
      <c r="I787" s="301"/>
      <c r="J787" s="301"/>
      <c r="K787" s="301"/>
      <c r="L787" s="299"/>
      <c r="M787" s="299"/>
      <c r="N787" s="299"/>
      <c r="O787" s="299"/>
      <c r="P787" s="299"/>
      <c r="Q787" s="299"/>
      <c r="R787" s="299"/>
      <c r="S787" s="29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</row>
    <row r="788" ht="15.75" customHeight="1">
      <c r="A788" s="298"/>
      <c r="B788" s="299"/>
      <c r="C788" s="299"/>
      <c r="D788" s="299"/>
      <c r="E788" s="300"/>
      <c r="F788" s="299"/>
      <c r="G788" s="299"/>
      <c r="H788" s="301"/>
      <c r="I788" s="301"/>
      <c r="J788" s="301"/>
      <c r="K788" s="301"/>
      <c r="L788" s="299"/>
      <c r="M788" s="299"/>
      <c r="N788" s="299"/>
      <c r="O788" s="299"/>
      <c r="P788" s="299"/>
      <c r="Q788" s="299"/>
      <c r="R788" s="299"/>
      <c r="S788" s="29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</row>
    <row r="789" ht="15.75" customHeight="1">
      <c r="A789" s="298"/>
      <c r="B789" s="299"/>
      <c r="C789" s="299"/>
      <c r="D789" s="299"/>
      <c r="E789" s="300"/>
      <c r="F789" s="299"/>
      <c r="G789" s="299"/>
      <c r="H789" s="301"/>
      <c r="I789" s="301"/>
      <c r="J789" s="301"/>
      <c r="K789" s="301"/>
      <c r="L789" s="299"/>
      <c r="M789" s="299"/>
      <c r="N789" s="299"/>
      <c r="O789" s="299"/>
      <c r="P789" s="299"/>
      <c r="Q789" s="299"/>
      <c r="R789" s="299"/>
      <c r="S789" s="29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</row>
    <row r="790" ht="15.75" customHeight="1">
      <c r="A790" s="298"/>
      <c r="B790" s="299"/>
      <c r="C790" s="299"/>
      <c r="D790" s="299"/>
      <c r="E790" s="300"/>
      <c r="F790" s="299"/>
      <c r="G790" s="299"/>
      <c r="H790" s="301"/>
      <c r="I790" s="301"/>
      <c r="J790" s="301"/>
      <c r="K790" s="301"/>
      <c r="L790" s="299"/>
      <c r="M790" s="299"/>
      <c r="N790" s="299"/>
      <c r="O790" s="299"/>
      <c r="P790" s="299"/>
      <c r="Q790" s="299"/>
      <c r="R790" s="299"/>
      <c r="S790" s="29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</row>
    <row r="791" ht="15.75" customHeight="1">
      <c r="A791" s="298"/>
      <c r="B791" s="299"/>
      <c r="C791" s="299"/>
      <c r="D791" s="299"/>
      <c r="E791" s="300"/>
      <c r="F791" s="299"/>
      <c r="G791" s="299"/>
      <c r="H791" s="301"/>
      <c r="I791" s="301"/>
      <c r="J791" s="301"/>
      <c r="K791" s="301"/>
      <c r="L791" s="299"/>
      <c r="M791" s="299"/>
      <c r="N791" s="299"/>
      <c r="O791" s="299"/>
      <c r="P791" s="299"/>
      <c r="Q791" s="299"/>
      <c r="R791" s="299"/>
      <c r="S791" s="29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</row>
    <row r="792" ht="15.75" customHeight="1">
      <c r="A792" s="298"/>
      <c r="B792" s="299"/>
      <c r="C792" s="299"/>
      <c r="D792" s="299"/>
      <c r="E792" s="300"/>
      <c r="F792" s="299"/>
      <c r="G792" s="299"/>
      <c r="H792" s="301"/>
      <c r="I792" s="301"/>
      <c r="J792" s="301"/>
      <c r="K792" s="301"/>
      <c r="L792" s="299"/>
      <c r="M792" s="299"/>
      <c r="N792" s="299"/>
      <c r="O792" s="299"/>
      <c r="P792" s="299"/>
      <c r="Q792" s="299"/>
      <c r="R792" s="299"/>
      <c r="S792" s="29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</row>
    <row r="793" ht="15.75" customHeight="1">
      <c r="A793" s="298"/>
      <c r="B793" s="299"/>
      <c r="C793" s="299"/>
      <c r="D793" s="299"/>
      <c r="E793" s="300"/>
      <c r="F793" s="299"/>
      <c r="G793" s="299"/>
      <c r="H793" s="301"/>
      <c r="I793" s="301"/>
      <c r="J793" s="301"/>
      <c r="K793" s="301"/>
      <c r="L793" s="299"/>
      <c r="M793" s="299"/>
      <c r="N793" s="299"/>
      <c r="O793" s="299"/>
      <c r="P793" s="299"/>
      <c r="Q793" s="299"/>
      <c r="R793" s="299"/>
      <c r="S793" s="29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</row>
    <row r="794" ht="15.75" customHeight="1">
      <c r="A794" s="298"/>
      <c r="B794" s="299"/>
      <c r="C794" s="299"/>
      <c r="D794" s="299"/>
      <c r="E794" s="300"/>
      <c r="F794" s="299"/>
      <c r="G794" s="299"/>
      <c r="H794" s="301"/>
      <c r="I794" s="301"/>
      <c r="J794" s="301"/>
      <c r="K794" s="301"/>
      <c r="L794" s="299"/>
      <c r="M794" s="299"/>
      <c r="N794" s="299"/>
      <c r="O794" s="299"/>
      <c r="P794" s="299"/>
      <c r="Q794" s="299"/>
      <c r="R794" s="299"/>
      <c r="S794" s="29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</row>
    <row r="795" ht="15.75" customHeight="1">
      <c r="A795" s="298"/>
      <c r="B795" s="299"/>
      <c r="C795" s="299"/>
      <c r="D795" s="299"/>
      <c r="E795" s="300"/>
      <c r="F795" s="299"/>
      <c r="G795" s="299"/>
      <c r="H795" s="301"/>
      <c r="I795" s="301"/>
      <c r="J795" s="301"/>
      <c r="K795" s="301"/>
      <c r="L795" s="299"/>
      <c r="M795" s="299"/>
      <c r="N795" s="299"/>
      <c r="O795" s="299"/>
      <c r="P795" s="299"/>
      <c r="Q795" s="299"/>
      <c r="R795" s="299"/>
      <c r="S795" s="29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</row>
    <row r="796" ht="15.75" customHeight="1">
      <c r="A796" s="298"/>
      <c r="B796" s="299"/>
      <c r="C796" s="299"/>
      <c r="D796" s="299"/>
      <c r="E796" s="300"/>
      <c r="F796" s="299"/>
      <c r="G796" s="299"/>
      <c r="H796" s="301"/>
      <c r="I796" s="301"/>
      <c r="J796" s="301"/>
      <c r="K796" s="301"/>
      <c r="L796" s="299"/>
      <c r="M796" s="299"/>
      <c r="N796" s="299"/>
      <c r="O796" s="299"/>
      <c r="P796" s="299"/>
      <c r="Q796" s="299"/>
      <c r="R796" s="299"/>
      <c r="S796" s="29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</row>
    <row r="797" ht="15.75" customHeight="1">
      <c r="A797" s="298"/>
      <c r="B797" s="299"/>
      <c r="C797" s="299"/>
      <c r="D797" s="299"/>
      <c r="E797" s="300"/>
      <c r="F797" s="299"/>
      <c r="G797" s="299"/>
      <c r="H797" s="301"/>
      <c r="I797" s="301"/>
      <c r="J797" s="301"/>
      <c r="K797" s="301"/>
      <c r="L797" s="299"/>
      <c r="M797" s="299"/>
      <c r="N797" s="299"/>
      <c r="O797" s="299"/>
      <c r="P797" s="299"/>
      <c r="Q797" s="299"/>
      <c r="R797" s="299"/>
      <c r="S797" s="29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</row>
    <row r="798" ht="15.75" customHeight="1">
      <c r="A798" s="298"/>
      <c r="B798" s="299"/>
      <c r="C798" s="299"/>
      <c r="D798" s="299"/>
      <c r="E798" s="300"/>
      <c r="F798" s="299"/>
      <c r="G798" s="299"/>
      <c r="H798" s="301"/>
      <c r="I798" s="301"/>
      <c r="J798" s="301"/>
      <c r="K798" s="301"/>
      <c r="L798" s="299"/>
      <c r="M798" s="299"/>
      <c r="N798" s="299"/>
      <c r="O798" s="299"/>
      <c r="P798" s="299"/>
      <c r="Q798" s="299"/>
      <c r="R798" s="299"/>
      <c r="S798" s="29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</row>
    <row r="799" ht="15.75" customHeight="1">
      <c r="A799" s="298"/>
      <c r="B799" s="299"/>
      <c r="C799" s="299"/>
      <c r="D799" s="299"/>
      <c r="E799" s="300"/>
      <c r="F799" s="299"/>
      <c r="G799" s="299"/>
      <c r="H799" s="301"/>
      <c r="I799" s="301"/>
      <c r="J799" s="301"/>
      <c r="K799" s="301"/>
      <c r="L799" s="299"/>
      <c r="M799" s="299"/>
      <c r="N799" s="299"/>
      <c r="O799" s="299"/>
      <c r="P799" s="299"/>
      <c r="Q799" s="299"/>
      <c r="R799" s="299"/>
      <c r="S799" s="29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</row>
    <row r="800" ht="15.75" customHeight="1">
      <c r="A800" s="298"/>
      <c r="B800" s="299"/>
      <c r="C800" s="299"/>
      <c r="D800" s="299"/>
      <c r="E800" s="300"/>
      <c r="F800" s="299"/>
      <c r="G800" s="299"/>
      <c r="H800" s="301"/>
      <c r="I800" s="301"/>
      <c r="J800" s="301"/>
      <c r="K800" s="301"/>
      <c r="L800" s="299"/>
      <c r="M800" s="299"/>
      <c r="N800" s="299"/>
      <c r="O800" s="299"/>
      <c r="P800" s="299"/>
      <c r="Q800" s="299"/>
      <c r="R800" s="299"/>
      <c r="S800" s="29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</row>
    <row r="801" ht="15.75" customHeight="1">
      <c r="A801" s="298"/>
      <c r="B801" s="299"/>
      <c r="C801" s="299"/>
      <c r="D801" s="299"/>
      <c r="E801" s="300"/>
      <c r="F801" s="299"/>
      <c r="G801" s="299"/>
      <c r="H801" s="301"/>
      <c r="I801" s="301"/>
      <c r="J801" s="301"/>
      <c r="K801" s="301"/>
      <c r="L801" s="299"/>
      <c r="M801" s="299"/>
      <c r="N801" s="299"/>
      <c r="O801" s="299"/>
      <c r="P801" s="299"/>
      <c r="Q801" s="299"/>
      <c r="R801" s="299"/>
      <c r="S801" s="29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</row>
    <row r="802" ht="15.75" customHeight="1">
      <c r="A802" s="298"/>
      <c r="B802" s="299"/>
      <c r="C802" s="299"/>
      <c r="D802" s="299"/>
      <c r="E802" s="300"/>
      <c r="F802" s="299"/>
      <c r="G802" s="299"/>
      <c r="H802" s="301"/>
      <c r="I802" s="301"/>
      <c r="J802" s="301"/>
      <c r="K802" s="301"/>
      <c r="L802" s="299"/>
      <c r="M802" s="299"/>
      <c r="N802" s="299"/>
      <c r="O802" s="299"/>
      <c r="P802" s="299"/>
      <c r="Q802" s="299"/>
      <c r="R802" s="299"/>
      <c r="S802" s="29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</row>
    <row r="803" ht="15.75" customHeight="1">
      <c r="A803" s="298"/>
      <c r="B803" s="299"/>
      <c r="C803" s="299"/>
      <c r="D803" s="299"/>
      <c r="E803" s="300"/>
      <c r="F803" s="299"/>
      <c r="G803" s="299"/>
      <c r="H803" s="301"/>
      <c r="I803" s="301"/>
      <c r="J803" s="301"/>
      <c r="K803" s="301"/>
      <c r="L803" s="299"/>
      <c r="M803" s="299"/>
      <c r="N803" s="299"/>
      <c r="O803" s="299"/>
      <c r="P803" s="299"/>
      <c r="Q803" s="299"/>
      <c r="R803" s="299"/>
      <c r="S803" s="29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</row>
    <row r="804" ht="15.75" customHeight="1">
      <c r="A804" s="298"/>
      <c r="B804" s="299"/>
      <c r="C804" s="299"/>
      <c r="D804" s="299"/>
      <c r="E804" s="300"/>
      <c r="F804" s="299"/>
      <c r="G804" s="299"/>
      <c r="H804" s="301"/>
      <c r="I804" s="301"/>
      <c r="J804" s="301"/>
      <c r="K804" s="301"/>
      <c r="L804" s="299"/>
      <c r="M804" s="299"/>
      <c r="N804" s="299"/>
      <c r="O804" s="299"/>
      <c r="P804" s="299"/>
      <c r="Q804" s="299"/>
      <c r="R804" s="299"/>
      <c r="S804" s="29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</row>
    <row r="805" ht="15.75" customHeight="1">
      <c r="A805" s="298"/>
      <c r="B805" s="299"/>
      <c r="C805" s="299"/>
      <c r="D805" s="299"/>
      <c r="E805" s="300"/>
      <c r="F805" s="299"/>
      <c r="G805" s="299"/>
      <c r="H805" s="301"/>
      <c r="I805" s="301"/>
      <c r="J805" s="301"/>
      <c r="K805" s="301"/>
      <c r="L805" s="299"/>
      <c r="M805" s="299"/>
      <c r="N805" s="299"/>
      <c r="O805" s="299"/>
      <c r="P805" s="299"/>
      <c r="Q805" s="299"/>
      <c r="R805" s="299"/>
      <c r="S805" s="29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</row>
    <row r="806" ht="15.75" customHeight="1">
      <c r="A806" s="298"/>
      <c r="B806" s="299"/>
      <c r="C806" s="299"/>
      <c r="D806" s="299"/>
      <c r="E806" s="300"/>
      <c r="F806" s="299"/>
      <c r="G806" s="299"/>
      <c r="H806" s="301"/>
      <c r="I806" s="301"/>
      <c r="J806" s="301"/>
      <c r="K806" s="301"/>
      <c r="L806" s="299"/>
      <c r="M806" s="299"/>
      <c r="N806" s="299"/>
      <c r="O806" s="299"/>
      <c r="P806" s="299"/>
      <c r="Q806" s="299"/>
      <c r="R806" s="299"/>
      <c r="S806" s="29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</row>
    <row r="807" ht="15.75" customHeight="1">
      <c r="A807" s="298"/>
      <c r="B807" s="299"/>
      <c r="C807" s="299"/>
      <c r="D807" s="299"/>
      <c r="E807" s="300"/>
      <c r="F807" s="299"/>
      <c r="G807" s="299"/>
      <c r="H807" s="301"/>
      <c r="I807" s="301"/>
      <c r="J807" s="301"/>
      <c r="K807" s="301"/>
      <c r="L807" s="299"/>
      <c r="M807" s="299"/>
      <c r="N807" s="299"/>
      <c r="O807" s="299"/>
      <c r="P807" s="299"/>
      <c r="Q807" s="299"/>
      <c r="R807" s="299"/>
      <c r="S807" s="29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</row>
    <row r="808" ht="15.75" customHeight="1">
      <c r="A808" s="298"/>
      <c r="B808" s="299"/>
      <c r="C808" s="299"/>
      <c r="D808" s="299"/>
      <c r="E808" s="300"/>
      <c r="F808" s="299"/>
      <c r="G808" s="299"/>
      <c r="H808" s="301"/>
      <c r="I808" s="301"/>
      <c r="J808" s="301"/>
      <c r="K808" s="301"/>
      <c r="L808" s="299"/>
      <c r="M808" s="299"/>
      <c r="N808" s="299"/>
      <c r="O808" s="299"/>
      <c r="P808" s="299"/>
      <c r="Q808" s="299"/>
      <c r="R808" s="299"/>
      <c r="S808" s="29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</row>
    <row r="809" ht="15.75" customHeight="1">
      <c r="A809" s="298"/>
      <c r="B809" s="299"/>
      <c r="C809" s="299"/>
      <c r="D809" s="299"/>
      <c r="E809" s="300"/>
      <c r="F809" s="299"/>
      <c r="G809" s="299"/>
      <c r="H809" s="301"/>
      <c r="I809" s="301"/>
      <c r="J809" s="301"/>
      <c r="K809" s="301"/>
      <c r="L809" s="299"/>
      <c r="M809" s="299"/>
      <c r="N809" s="299"/>
      <c r="O809" s="299"/>
      <c r="P809" s="299"/>
      <c r="Q809" s="299"/>
      <c r="R809" s="299"/>
      <c r="S809" s="29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</row>
    <row r="810" ht="15.75" customHeight="1">
      <c r="A810" s="298"/>
      <c r="B810" s="299"/>
      <c r="C810" s="299"/>
      <c r="D810" s="299"/>
      <c r="E810" s="300"/>
      <c r="F810" s="299"/>
      <c r="G810" s="299"/>
      <c r="H810" s="301"/>
      <c r="I810" s="301"/>
      <c r="J810" s="301"/>
      <c r="K810" s="301"/>
      <c r="L810" s="299"/>
      <c r="M810" s="299"/>
      <c r="N810" s="299"/>
      <c r="O810" s="299"/>
      <c r="P810" s="299"/>
      <c r="Q810" s="299"/>
      <c r="R810" s="299"/>
      <c r="S810" s="29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</row>
    <row r="811" ht="15.75" customHeight="1">
      <c r="A811" s="298"/>
      <c r="B811" s="299"/>
      <c r="C811" s="299"/>
      <c r="D811" s="299"/>
      <c r="E811" s="300"/>
      <c r="F811" s="299"/>
      <c r="G811" s="299"/>
      <c r="H811" s="301"/>
      <c r="I811" s="301"/>
      <c r="J811" s="301"/>
      <c r="K811" s="301"/>
      <c r="L811" s="299"/>
      <c r="M811" s="299"/>
      <c r="N811" s="299"/>
      <c r="O811" s="299"/>
      <c r="P811" s="299"/>
      <c r="Q811" s="299"/>
      <c r="R811" s="299"/>
      <c r="S811" s="29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</row>
    <row r="812" ht="15.75" customHeight="1">
      <c r="A812" s="298"/>
      <c r="B812" s="299"/>
      <c r="C812" s="299"/>
      <c r="D812" s="299"/>
      <c r="E812" s="300"/>
      <c r="F812" s="299"/>
      <c r="G812" s="299"/>
      <c r="H812" s="301"/>
      <c r="I812" s="301"/>
      <c r="J812" s="301"/>
      <c r="K812" s="301"/>
      <c r="L812" s="299"/>
      <c r="M812" s="299"/>
      <c r="N812" s="299"/>
      <c r="O812" s="299"/>
      <c r="P812" s="299"/>
      <c r="Q812" s="299"/>
      <c r="R812" s="299"/>
      <c r="S812" s="29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</row>
    <row r="813" ht="15.75" customHeight="1">
      <c r="A813" s="298"/>
      <c r="B813" s="299"/>
      <c r="C813" s="299"/>
      <c r="D813" s="299"/>
      <c r="E813" s="300"/>
      <c r="F813" s="299"/>
      <c r="G813" s="299"/>
      <c r="H813" s="301"/>
      <c r="I813" s="301"/>
      <c r="J813" s="301"/>
      <c r="K813" s="301"/>
      <c r="L813" s="299"/>
      <c r="M813" s="299"/>
      <c r="N813" s="299"/>
      <c r="O813" s="299"/>
      <c r="P813" s="299"/>
      <c r="Q813" s="299"/>
      <c r="R813" s="299"/>
      <c r="S813" s="29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</row>
    <row r="814" ht="15.75" customHeight="1">
      <c r="A814" s="298"/>
      <c r="B814" s="299"/>
      <c r="C814" s="299"/>
      <c r="D814" s="299"/>
      <c r="E814" s="300"/>
      <c r="F814" s="299"/>
      <c r="G814" s="299"/>
      <c r="H814" s="301"/>
      <c r="I814" s="301"/>
      <c r="J814" s="301"/>
      <c r="K814" s="301"/>
      <c r="L814" s="299"/>
      <c r="M814" s="299"/>
      <c r="N814" s="299"/>
      <c r="O814" s="299"/>
      <c r="P814" s="299"/>
      <c r="Q814" s="299"/>
      <c r="R814" s="299"/>
      <c r="S814" s="29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</row>
    <row r="815" ht="15.75" customHeight="1">
      <c r="A815" s="298"/>
      <c r="B815" s="299"/>
      <c r="C815" s="299"/>
      <c r="D815" s="299"/>
      <c r="E815" s="300"/>
      <c r="F815" s="299"/>
      <c r="G815" s="299"/>
      <c r="H815" s="301"/>
      <c r="I815" s="301"/>
      <c r="J815" s="301"/>
      <c r="K815" s="301"/>
      <c r="L815" s="299"/>
      <c r="M815" s="299"/>
      <c r="N815" s="299"/>
      <c r="O815" s="299"/>
      <c r="P815" s="299"/>
      <c r="Q815" s="299"/>
      <c r="R815" s="299"/>
      <c r="S815" s="29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</row>
    <row r="816" ht="15.75" customHeight="1">
      <c r="A816" s="298"/>
      <c r="B816" s="299"/>
      <c r="C816" s="299"/>
      <c r="D816" s="299"/>
      <c r="E816" s="300"/>
      <c r="F816" s="299"/>
      <c r="G816" s="299"/>
      <c r="H816" s="301"/>
      <c r="I816" s="301"/>
      <c r="J816" s="301"/>
      <c r="K816" s="301"/>
      <c r="L816" s="299"/>
      <c r="M816" s="299"/>
      <c r="N816" s="299"/>
      <c r="O816" s="299"/>
      <c r="P816" s="299"/>
      <c r="Q816" s="299"/>
      <c r="R816" s="299"/>
      <c r="S816" s="29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</row>
    <row r="817" ht="15.75" customHeight="1">
      <c r="A817" s="298"/>
      <c r="B817" s="299"/>
      <c r="C817" s="299"/>
      <c r="D817" s="299"/>
      <c r="E817" s="300"/>
      <c r="F817" s="299"/>
      <c r="G817" s="299"/>
      <c r="H817" s="301"/>
      <c r="I817" s="301"/>
      <c r="J817" s="301"/>
      <c r="K817" s="301"/>
      <c r="L817" s="299"/>
      <c r="M817" s="299"/>
      <c r="N817" s="299"/>
      <c r="O817" s="299"/>
      <c r="P817" s="299"/>
      <c r="Q817" s="299"/>
      <c r="R817" s="299"/>
      <c r="S817" s="29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</row>
    <row r="818" ht="15.75" customHeight="1">
      <c r="A818" s="298"/>
      <c r="B818" s="299"/>
      <c r="C818" s="299"/>
      <c r="D818" s="299"/>
      <c r="E818" s="300"/>
      <c r="F818" s="299"/>
      <c r="G818" s="299"/>
      <c r="H818" s="301"/>
      <c r="I818" s="301"/>
      <c r="J818" s="301"/>
      <c r="K818" s="301"/>
      <c r="L818" s="299"/>
      <c r="M818" s="299"/>
      <c r="N818" s="299"/>
      <c r="O818" s="299"/>
      <c r="P818" s="299"/>
      <c r="Q818" s="299"/>
      <c r="R818" s="299"/>
      <c r="S818" s="29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</row>
    <row r="819" ht="15.75" customHeight="1">
      <c r="A819" s="298"/>
      <c r="B819" s="299"/>
      <c r="C819" s="299"/>
      <c r="D819" s="299"/>
      <c r="E819" s="300"/>
      <c r="F819" s="299"/>
      <c r="G819" s="299"/>
      <c r="H819" s="301"/>
      <c r="I819" s="301"/>
      <c r="J819" s="301"/>
      <c r="K819" s="301"/>
      <c r="L819" s="299"/>
      <c r="M819" s="299"/>
      <c r="N819" s="299"/>
      <c r="O819" s="299"/>
      <c r="P819" s="299"/>
      <c r="Q819" s="299"/>
      <c r="R819" s="299"/>
      <c r="S819" s="29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</row>
    <row r="820" ht="15.75" customHeight="1">
      <c r="A820" s="298"/>
      <c r="B820" s="299"/>
      <c r="C820" s="299"/>
      <c r="D820" s="299"/>
      <c r="E820" s="300"/>
      <c r="F820" s="299"/>
      <c r="G820" s="299"/>
      <c r="H820" s="301"/>
      <c r="I820" s="301"/>
      <c r="J820" s="301"/>
      <c r="K820" s="301"/>
      <c r="L820" s="299"/>
      <c r="M820" s="299"/>
      <c r="N820" s="299"/>
      <c r="O820" s="299"/>
      <c r="P820" s="299"/>
      <c r="Q820" s="299"/>
      <c r="R820" s="299"/>
      <c r="S820" s="29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</row>
    <row r="821" ht="15.75" customHeight="1">
      <c r="A821" s="298"/>
      <c r="B821" s="299"/>
      <c r="C821" s="299"/>
      <c r="D821" s="299"/>
      <c r="E821" s="300"/>
      <c r="F821" s="299"/>
      <c r="G821" s="299"/>
      <c r="H821" s="301"/>
      <c r="I821" s="301"/>
      <c r="J821" s="301"/>
      <c r="K821" s="301"/>
      <c r="L821" s="299"/>
      <c r="M821" s="299"/>
      <c r="N821" s="299"/>
      <c r="O821" s="299"/>
      <c r="P821" s="299"/>
      <c r="Q821" s="299"/>
      <c r="R821" s="299"/>
      <c r="S821" s="29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</row>
    <row r="822" ht="15.75" customHeight="1">
      <c r="A822" s="298"/>
      <c r="B822" s="299"/>
      <c r="C822" s="299"/>
      <c r="D822" s="299"/>
      <c r="E822" s="300"/>
      <c r="F822" s="299"/>
      <c r="G822" s="299"/>
      <c r="H822" s="301"/>
      <c r="I822" s="301"/>
      <c r="J822" s="301"/>
      <c r="K822" s="301"/>
      <c r="L822" s="299"/>
      <c r="M822" s="299"/>
      <c r="N822" s="299"/>
      <c r="O822" s="299"/>
      <c r="P822" s="299"/>
      <c r="Q822" s="299"/>
      <c r="R822" s="299"/>
      <c r="S822" s="29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</row>
    <row r="823" ht="15.75" customHeight="1">
      <c r="A823" s="298"/>
      <c r="B823" s="299"/>
      <c r="C823" s="299"/>
      <c r="D823" s="299"/>
      <c r="E823" s="300"/>
      <c r="F823" s="299"/>
      <c r="G823" s="299"/>
      <c r="H823" s="301"/>
      <c r="I823" s="301"/>
      <c r="J823" s="301"/>
      <c r="K823" s="301"/>
      <c r="L823" s="299"/>
      <c r="M823" s="299"/>
      <c r="N823" s="299"/>
      <c r="O823" s="299"/>
      <c r="P823" s="299"/>
      <c r="Q823" s="299"/>
      <c r="R823" s="299"/>
      <c r="S823" s="29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</row>
    <row r="824" ht="15.75" customHeight="1">
      <c r="A824" s="298"/>
      <c r="B824" s="299"/>
      <c r="C824" s="299"/>
      <c r="D824" s="299"/>
      <c r="E824" s="300"/>
      <c r="F824" s="299"/>
      <c r="G824" s="299"/>
      <c r="H824" s="301"/>
      <c r="I824" s="301"/>
      <c r="J824" s="301"/>
      <c r="K824" s="301"/>
      <c r="L824" s="299"/>
      <c r="M824" s="299"/>
      <c r="N824" s="299"/>
      <c r="O824" s="299"/>
      <c r="P824" s="299"/>
      <c r="Q824" s="299"/>
      <c r="R824" s="299"/>
      <c r="S824" s="29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</row>
    <row r="825" ht="15.75" customHeight="1">
      <c r="A825" s="298"/>
      <c r="B825" s="299"/>
      <c r="C825" s="299"/>
      <c r="D825" s="299"/>
      <c r="E825" s="300"/>
      <c r="F825" s="299"/>
      <c r="G825" s="299"/>
      <c r="H825" s="301"/>
      <c r="I825" s="301"/>
      <c r="J825" s="301"/>
      <c r="K825" s="301"/>
      <c r="L825" s="299"/>
      <c r="M825" s="299"/>
      <c r="N825" s="299"/>
      <c r="O825" s="299"/>
      <c r="P825" s="299"/>
      <c r="Q825" s="299"/>
      <c r="R825" s="299"/>
      <c r="S825" s="29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</row>
    <row r="826" ht="15.75" customHeight="1">
      <c r="A826" s="298"/>
      <c r="B826" s="299"/>
      <c r="C826" s="299"/>
      <c r="D826" s="299"/>
      <c r="E826" s="300"/>
      <c r="F826" s="299"/>
      <c r="G826" s="299"/>
      <c r="H826" s="301"/>
      <c r="I826" s="301"/>
      <c r="J826" s="301"/>
      <c r="K826" s="301"/>
      <c r="L826" s="299"/>
      <c r="M826" s="299"/>
      <c r="N826" s="299"/>
      <c r="O826" s="299"/>
      <c r="P826" s="299"/>
      <c r="Q826" s="299"/>
      <c r="R826" s="299"/>
      <c r="S826" s="29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</row>
    <row r="827" ht="15.75" customHeight="1">
      <c r="A827" s="298"/>
      <c r="B827" s="299"/>
      <c r="C827" s="299"/>
      <c r="D827" s="299"/>
      <c r="E827" s="300"/>
      <c r="F827" s="299"/>
      <c r="G827" s="299"/>
      <c r="H827" s="301"/>
      <c r="I827" s="301"/>
      <c r="J827" s="301"/>
      <c r="K827" s="301"/>
      <c r="L827" s="299"/>
      <c r="M827" s="299"/>
      <c r="N827" s="299"/>
      <c r="O827" s="299"/>
      <c r="P827" s="299"/>
      <c r="Q827" s="299"/>
      <c r="R827" s="299"/>
      <c r="S827" s="29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</row>
    <row r="828" ht="15.75" customHeight="1">
      <c r="A828" s="298"/>
      <c r="B828" s="299"/>
      <c r="C828" s="299"/>
      <c r="D828" s="299"/>
      <c r="E828" s="300"/>
      <c r="F828" s="299"/>
      <c r="G828" s="299"/>
      <c r="H828" s="301"/>
      <c r="I828" s="301"/>
      <c r="J828" s="301"/>
      <c r="K828" s="301"/>
      <c r="L828" s="299"/>
      <c r="M828" s="299"/>
      <c r="N828" s="299"/>
      <c r="O828" s="299"/>
      <c r="P828" s="299"/>
      <c r="Q828" s="299"/>
      <c r="R828" s="299"/>
      <c r="S828" s="29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</row>
    <row r="829" ht="15.75" customHeight="1">
      <c r="A829" s="298"/>
      <c r="B829" s="299"/>
      <c r="C829" s="299"/>
      <c r="D829" s="299"/>
      <c r="E829" s="300"/>
      <c r="F829" s="299"/>
      <c r="G829" s="299"/>
      <c r="H829" s="301"/>
      <c r="I829" s="301"/>
      <c r="J829" s="301"/>
      <c r="K829" s="301"/>
      <c r="L829" s="299"/>
      <c r="M829" s="299"/>
      <c r="N829" s="299"/>
      <c r="O829" s="299"/>
      <c r="P829" s="299"/>
      <c r="Q829" s="299"/>
      <c r="R829" s="299"/>
      <c r="S829" s="29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</row>
    <row r="830" ht="15.75" customHeight="1">
      <c r="A830" s="298"/>
      <c r="B830" s="299"/>
      <c r="C830" s="299"/>
      <c r="D830" s="299"/>
      <c r="E830" s="300"/>
      <c r="F830" s="299"/>
      <c r="G830" s="299"/>
      <c r="H830" s="301"/>
      <c r="I830" s="301"/>
      <c r="J830" s="301"/>
      <c r="K830" s="301"/>
      <c r="L830" s="299"/>
      <c r="M830" s="299"/>
      <c r="N830" s="299"/>
      <c r="O830" s="299"/>
      <c r="P830" s="299"/>
      <c r="Q830" s="299"/>
      <c r="R830" s="299"/>
      <c r="S830" s="29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</row>
    <row r="831" ht="15.75" customHeight="1">
      <c r="A831" s="298"/>
      <c r="B831" s="299"/>
      <c r="C831" s="299"/>
      <c r="D831" s="299"/>
      <c r="E831" s="300"/>
      <c r="F831" s="299"/>
      <c r="G831" s="299"/>
      <c r="H831" s="301"/>
      <c r="I831" s="301"/>
      <c r="J831" s="301"/>
      <c r="K831" s="301"/>
      <c r="L831" s="299"/>
      <c r="M831" s="299"/>
      <c r="N831" s="299"/>
      <c r="O831" s="299"/>
      <c r="P831" s="299"/>
      <c r="Q831" s="299"/>
      <c r="R831" s="299"/>
      <c r="S831" s="29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</row>
    <row r="832" ht="15.75" customHeight="1">
      <c r="A832" s="298"/>
      <c r="B832" s="299"/>
      <c r="C832" s="299"/>
      <c r="D832" s="299"/>
      <c r="E832" s="300"/>
      <c r="F832" s="299"/>
      <c r="G832" s="299"/>
      <c r="H832" s="301"/>
      <c r="I832" s="301"/>
      <c r="J832" s="301"/>
      <c r="K832" s="301"/>
      <c r="L832" s="299"/>
      <c r="M832" s="299"/>
      <c r="N832" s="299"/>
      <c r="O832" s="299"/>
      <c r="P832" s="299"/>
      <c r="Q832" s="299"/>
      <c r="R832" s="299"/>
      <c r="S832" s="29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</row>
    <row r="833" ht="15.75" customHeight="1">
      <c r="A833" s="298"/>
      <c r="B833" s="299"/>
      <c r="C833" s="299"/>
      <c r="D833" s="299"/>
      <c r="E833" s="300"/>
      <c r="F833" s="299"/>
      <c r="G833" s="299"/>
      <c r="H833" s="301"/>
      <c r="I833" s="301"/>
      <c r="J833" s="301"/>
      <c r="K833" s="301"/>
      <c r="L833" s="299"/>
      <c r="M833" s="299"/>
      <c r="N833" s="299"/>
      <c r="O833" s="299"/>
      <c r="P833" s="299"/>
      <c r="Q833" s="299"/>
      <c r="R833" s="299"/>
      <c r="S833" s="29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</row>
    <row r="834" ht="15.75" customHeight="1">
      <c r="A834" s="298"/>
      <c r="B834" s="299"/>
      <c r="C834" s="299"/>
      <c r="D834" s="299"/>
      <c r="E834" s="300"/>
      <c r="F834" s="299"/>
      <c r="G834" s="299"/>
      <c r="H834" s="301"/>
      <c r="I834" s="301"/>
      <c r="J834" s="301"/>
      <c r="K834" s="301"/>
      <c r="L834" s="299"/>
      <c r="M834" s="299"/>
      <c r="N834" s="299"/>
      <c r="O834" s="299"/>
      <c r="P834" s="299"/>
      <c r="Q834" s="299"/>
      <c r="R834" s="299"/>
      <c r="S834" s="29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</row>
    <row r="835" ht="15.75" customHeight="1">
      <c r="A835" s="298"/>
      <c r="B835" s="299"/>
      <c r="C835" s="299"/>
      <c r="D835" s="299"/>
      <c r="E835" s="300"/>
      <c r="F835" s="299"/>
      <c r="G835" s="299"/>
      <c r="H835" s="301"/>
      <c r="I835" s="301"/>
      <c r="J835" s="301"/>
      <c r="K835" s="301"/>
      <c r="L835" s="299"/>
      <c r="M835" s="299"/>
      <c r="N835" s="299"/>
      <c r="O835" s="299"/>
      <c r="P835" s="299"/>
      <c r="Q835" s="299"/>
      <c r="R835" s="299"/>
      <c r="S835" s="29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</row>
    <row r="836" ht="15.75" customHeight="1">
      <c r="A836" s="298"/>
      <c r="B836" s="299"/>
      <c r="C836" s="299"/>
      <c r="D836" s="299"/>
      <c r="E836" s="300"/>
      <c r="F836" s="299"/>
      <c r="G836" s="299"/>
      <c r="H836" s="301"/>
      <c r="I836" s="301"/>
      <c r="J836" s="301"/>
      <c r="K836" s="301"/>
      <c r="L836" s="299"/>
      <c r="M836" s="299"/>
      <c r="N836" s="299"/>
      <c r="O836" s="299"/>
      <c r="P836" s="299"/>
      <c r="Q836" s="299"/>
      <c r="R836" s="299"/>
      <c r="S836" s="29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</row>
    <row r="837" ht="15.75" customHeight="1">
      <c r="A837" s="298"/>
      <c r="B837" s="299"/>
      <c r="C837" s="299"/>
      <c r="D837" s="299"/>
      <c r="E837" s="300"/>
      <c r="F837" s="299"/>
      <c r="G837" s="299"/>
      <c r="H837" s="301"/>
      <c r="I837" s="301"/>
      <c r="J837" s="301"/>
      <c r="K837" s="301"/>
      <c r="L837" s="299"/>
      <c r="M837" s="299"/>
      <c r="N837" s="299"/>
      <c r="O837" s="299"/>
      <c r="P837" s="299"/>
      <c r="Q837" s="299"/>
      <c r="R837" s="299"/>
      <c r="S837" s="29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</row>
    <row r="838" ht="15.75" customHeight="1">
      <c r="A838" s="298"/>
      <c r="B838" s="299"/>
      <c r="C838" s="299"/>
      <c r="D838" s="299"/>
      <c r="E838" s="300"/>
      <c r="F838" s="299"/>
      <c r="G838" s="299"/>
      <c r="H838" s="301"/>
      <c r="I838" s="301"/>
      <c r="J838" s="301"/>
      <c r="K838" s="301"/>
      <c r="L838" s="299"/>
      <c r="M838" s="299"/>
      <c r="N838" s="299"/>
      <c r="O838" s="299"/>
      <c r="P838" s="299"/>
      <c r="Q838" s="299"/>
      <c r="R838" s="299"/>
      <c r="S838" s="29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</row>
    <row r="839" ht="15.75" customHeight="1">
      <c r="A839" s="298"/>
      <c r="B839" s="299"/>
      <c r="C839" s="299"/>
      <c r="D839" s="299"/>
      <c r="E839" s="300"/>
      <c r="F839" s="299"/>
      <c r="G839" s="299"/>
      <c r="H839" s="301"/>
      <c r="I839" s="301"/>
      <c r="J839" s="301"/>
      <c r="K839" s="301"/>
      <c r="L839" s="299"/>
      <c r="M839" s="299"/>
      <c r="N839" s="299"/>
      <c r="O839" s="299"/>
      <c r="P839" s="299"/>
      <c r="Q839" s="299"/>
      <c r="R839" s="299"/>
      <c r="S839" s="29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</row>
    <row r="840" ht="15.75" customHeight="1">
      <c r="A840" s="298"/>
      <c r="B840" s="299"/>
      <c r="C840" s="299"/>
      <c r="D840" s="299"/>
      <c r="E840" s="300"/>
      <c r="F840" s="299"/>
      <c r="G840" s="299"/>
      <c r="H840" s="301"/>
      <c r="I840" s="301"/>
      <c r="J840" s="301"/>
      <c r="K840" s="301"/>
      <c r="L840" s="299"/>
      <c r="M840" s="299"/>
      <c r="N840" s="299"/>
      <c r="O840" s="299"/>
      <c r="P840" s="299"/>
      <c r="Q840" s="299"/>
      <c r="R840" s="299"/>
      <c r="S840" s="29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</row>
    <row r="841" ht="15.75" customHeight="1">
      <c r="A841" s="298"/>
      <c r="B841" s="299"/>
      <c r="C841" s="299"/>
      <c r="D841" s="299"/>
      <c r="E841" s="300"/>
      <c r="F841" s="299"/>
      <c r="G841" s="299"/>
      <c r="H841" s="301"/>
      <c r="I841" s="301"/>
      <c r="J841" s="301"/>
      <c r="K841" s="301"/>
      <c r="L841" s="299"/>
      <c r="M841" s="299"/>
      <c r="N841" s="299"/>
      <c r="O841" s="299"/>
      <c r="P841" s="299"/>
      <c r="Q841" s="299"/>
      <c r="R841" s="299"/>
      <c r="S841" s="29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</row>
    <row r="842" ht="15.75" customHeight="1">
      <c r="A842" s="298"/>
      <c r="B842" s="299"/>
      <c r="C842" s="299"/>
      <c r="D842" s="299"/>
      <c r="E842" s="300"/>
      <c r="F842" s="299"/>
      <c r="G842" s="299"/>
      <c r="H842" s="301"/>
      <c r="I842" s="301"/>
      <c r="J842" s="301"/>
      <c r="K842" s="301"/>
      <c r="L842" s="299"/>
      <c r="M842" s="299"/>
      <c r="N842" s="299"/>
      <c r="O842" s="299"/>
      <c r="P842" s="299"/>
      <c r="Q842" s="299"/>
      <c r="R842" s="299"/>
      <c r="S842" s="29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</row>
    <row r="843" ht="15.75" customHeight="1">
      <c r="A843" s="298"/>
      <c r="B843" s="299"/>
      <c r="C843" s="299"/>
      <c r="D843" s="299"/>
      <c r="E843" s="300"/>
      <c r="F843" s="299"/>
      <c r="G843" s="299"/>
      <c r="H843" s="301"/>
      <c r="I843" s="301"/>
      <c r="J843" s="301"/>
      <c r="K843" s="301"/>
      <c r="L843" s="299"/>
      <c r="M843" s="299"/>
      <c r="N843" s="299"/>
      <c r="O843" s="299"/>
      <c r="P843" s="299"/>
      <c r="Q843" s="299"/>
      <c r="R843" s="299"/>
      <c r="S843" s="29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</row>
    <row r="844" ht="15.75" customHeight="1">
      <c r="A844" s="298"/>
      <c r="B844" s="299"/>
      <c r="C844" s="299"/>
      <c r="D844" s="299"/>
      <c r="E844" s="300"/>
      <c r="F844" s="299"/>
      <c r="G844" s="299"/>
      <c r="H844" s="301"/>
      <c r="I844" s="301"/>
      <c r="J844" s="301"/>
      <c r="K844" s="301"/>
      <c r="L844" s="299"/>
      <c r="M844" s="299"/>
      <c r="N844" s="299"/>
      <c r="O844" s="299"/>
      <c r="P844" s="299"/>
      <c r="Q844" s="299"/>
      <c r="R844" s="299"/>
      <c r="S844" s="29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</row>
    <row r="845" ht="15.75" customHeight="1">
      <c r="A845" s="298"/>
      <c r="B845" s="299"/>
      <c r="C845" s="299"/>
      <c r="D845" s="299"/>
      <c r="E845" s="300"/>
      <c r="F845" s="299"/>
      <c r="G845" s="299"/>
      <c r="H845" s="301"/>
      <c r="I845" s="301"/>
      <c r="J845" s="301"/>
      <c r="K845" s="301"/>
      <c r="L845" s="299"/>
      <c r="M845" s="299"/>
      <c r="N845" s="299"/>
      <c r="O845" s="299"/>
      <c r="P845" s="299"/>
      <c r="Q845" s="299"/>
      <c r="R845" s="299"/>
      <c r="S845" s="29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</row>
    <row r="846" ht="15.75" customHeight="1">
      <c r="A846" s="298"/>
      <c r="B846" s="299"/>
      <c r="C846" s="299"/>
      <c r="D846" s="299"/>
      <c r="E846" s="300"/>
      <c r="F846" s="299"/>
      <c r="G846" s="299"/>
      <c r="H846" s="301"/>
      <c r="I846" s="301"/>
      <c r="J846" s="301"/>
      <c r="K846" s="301"/>
      <c r="L846" s="299"/>
      <c r="M846" s="299"/>
      <c r="N846" s="299"/>
      <c r="O846" s="299"/>
      <c r="P846" s="299"/>
      <c r="Q846" s="299"/>
      <c r="R846" s="299"/>
      <c r="S846" s="29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</row>
    <row r="847" ht="15.75" customHeight="1">
      <c r="A847" s="298"/>
      <c r="B847" s="299"/>
      <c r="C847" s="299"/>
      <c r="D847" s="299"/>
      <c r="E847" s="300"/>
      <c r="F847" s="299"/>
      <c r="G847" s="299"/>
      <c r="H847" s="301"/>
      <c r="I847" s="301"/>
      <c r="J847" s="301"/>
      <c r="K847" s="301"/>
      <c r="L847" s="299"/>
      <c r="M847" s="299"/>
      <c r="N847" s="299"/>
      <c r="O847" s="299"/>
      <c r="P847" s="299"/>
      <c r="Q847" s="299"/>
      <c r="R847" s="299"/>
      <c r="S847" s="29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</row>
    <row r="848" ht="15.75" customHeight="1">
      <c r="A848" s="298"/>
      <c r="B848" s="299"/>
      <c r="C848" s="299"/>
      <c r="D848" s="299"/>
      <c r="E848" s="300"/>
      <c r="F848" s="299"/>
      <c r="G848" s="299"/>
      <c r="H848" s="301"/>
      <c r="I848" s="301"/>
      <c r="J848" s="301"/>
      <c r="K848" s="301"/>
      <c r="L848" s="299"/>
      <c r="M848" s="299"/>
      <c r="N848" s="299"/>
      <c r="O848" s="299"/>
      <c r="P848" s="299"/>
      <c r="Q848" s="299"/>
      <c r="R848" s="299"/>
      <c r="S848" s="29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</row>
    <row r="849" ht="15.75" customHeight="1">
      <c r="A849" s="298"/>
      <c r="B849" s="299"/>
      <c r="C849" s="299"/>
      <c r="D849" s="299"/>
      <c r="E849" s="300"/>
      <c r="F849" s="299"/>
      <c r="G849" s="299"/>
      <c r="H849" s="301"/>
      <c r="I849" s="301"/>
      <c r="J849" s="301"/>
      <c r="K849" s="301"/>
      <c r="L849" s="299"/>
      <c r="M849" s="299"/>
      <c r="N849" s="299"/>
      <c r="O849" s="299"/>
      <c r="P849" s="299"/>
      <c r="Q849" s="299"/>
      <c r="R849" s="299"/>
      <c r="S849" s="29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</row>
    <row r="850" ht="15.75" customHeight="1">
      <c r="A850" s="298"/>
      <c r="B850" s="299"/>
      <c r="C850" s="299"/>
      <c r="D850" s="299"/>
      <c r="E850" s="300"/>
      <c r="F850" s="299"/>
      <c r="G850" s="299"/>
      <c r="H850" s="301"/>
      <c r="I850" s="301"/>
      <c r="J850" s="301"/>
      <c r="K850" s="301"/>
      <c r="L850" s="299"/>
      <c r="M850" s="299"/>
      <c r="N850" s="299"/>
      <c r="O850" s="299"/>
      <c r="P850" s="299"/>
      <c r="Q850" s="299"/>
      <c r="R850" s="299"/>
      <c r="S850" s="29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</row>
    <row r="851" ht="15.75" customHeight="1">
      <c r="A851" s="298"/>
      <c r="B851" s="299"/>
      <c r="C851" s="299"/>
      <c r="D851" s="299"/>
      <c r="E851" s="300"/>
      <c r="F851" s="299"/>
      <c r="G851" s="299"/>
      <c r="H851" s="301"/>
      <c r="I851" s="301"/>
      <c r="J851" s="301"/>
      <c r="K851" s="301"/>
      <c r="L851" s="299"/>
      <c r="M851" s="299"/>
      <c r="N851" s="299"/>
      <c r="O851" s="299"/>
      <c r="P851" s="299"/>
      <c r="Q851" s="299"/>
      <c r="R851" s="299"/>
      <c r="S851" s="29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</row>
    <row r="852" ht="15.75" customHeight="1">
      <c r="A852" s="298"/>
      <c r="B852" s="299"/>
      <c r="C852" s="299"/>
      <c r="D852" s="299"/>
      <c r="E852" s="300"/>
      <c r="F852" s="299"/>
      <c r="G852" s="299"/>
      <c r="H852" s="301"/>
      <c r="I852" s="301"/>
      <c r="J852" s="301"/>
      <c r="K852" s="301"/>
      <c r="L852" s="299"/>
      <c r="M852" s="299"/>
      <c r="N852" s="299"/>
      <c r="O852" s="299"/>
      <c r="P852" s="299"/>
      <c r="Q852" s="299"/>
      <c r="R852" s="299"/>
      <c r="S852" s="29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</row>
    <row r="853" ht="15.75" customHeight="1">
      <c r="A853" s="298"/>
      <c r="B853" s="299"/>
      <c r="C853" s="299"/>
      <c r="D853" s="299"/>
      <c r="E853" s="300"/>
      <c r="F853" s="299"/>
      <c r="G853" s="299"/>
      <c r="H853" s="301"/>
      <c r="I853" s="301"/>
      <c r="J853" s="301"/>
      <c r="K853" s="301"/>
      <c r="L853" s="299"/>
      <c r="M853" s="299"/>
      <c r="N853" s="299"/>
      <c r="O853" s="299"/>
      <c r="P853" s="299"/>
      <c r="Q853" s="299"/>
      <c r="R853" s="299"/>
      <c r="S853" s="29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</row>
    <row r="854" ht="15.75" customHeight="1">
      <c r="A854" s="298"/>
      <c r="B854" s="299"/>
      <c r="C854" s="299"/>
      <c r="D854" s="299"/>
      <c r="E854" s="300"/>
      <c r="F854" s="299"/>
      <c r="G854" s="299"/>
      <c r="H854" s="301"/>
      <c r="I854" s="301"/>
      <c r="J854" s="301"/>
      <c r="K854" s="301"/>
      <c r="L854" s="299"/>
      <c r="M854" s="299"/>
      <c r="N854" s="299"/>
      <c r="O854" s="299"/>
      <c r="P854" s="299"/>
      <c r="Q854" s="299"/>
      <c r="R854" s="299"/>
      <c r="S854" s="29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</row>
    <row r="855" ht="15.75" customHeight="1">
      <c r="A855" s="298"/>
      <c r="B855" s="299"/>
      <c r="C855" s="299"/>
      <c r="D855" s="299"/>
      <c r="E855" s="300"/>
      <c r="F855" s="299"/>
      <c r="G855" s="299"/>
      <c r="H855" s="301"/>
      <c r="I855" s="301"/>
      <c r="J855" s="301"/>
      <c r="K855" s="301"/>
      <c r="L855" s="299"/>
      <c r="M855" s="299"/>
      <c r="N855" s="299"/>
      <c r="O855" s="299"/>
      <c r="P855" s="299"/>
      <c r="Q855" s="299"/>
      <c r="R855" s="299"/>
      <c r="S855" s="29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</row>
    <row r="856" ht="15.75" customHeight="1">
      <c r="A856" s="298"/>
      <c r="B856" s="299"/>
      <c r="C856" s="299"/>
      <c r="D856" s="299"/>
      <c r="E856" s="300"/>
      <c r="F856" s="299"/>
      <c r="G856" s="299"/>
      <c r="H856" s="301"/>
      <c r="I856" s="301"/>
      <c r="J856" s="301"/>
      <c r="K856" s="301"/>
      <c r="L856" s="299"/>
      <c r="M856" s="299"/>
      <c r="N856" s="299"/>
      <c r="O856" s="299"/>
      <c r="P856" s="299"/>
      <c r="Q856" s="299"/>
      <c r="R856" s="299"/>
      <c r="S856" s="29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</row>
    <row r="857" ht="15.75" customHeight="1">
      <c r="A857" s="298"/>
      <c r="B857" s="299"/>
      <c r="C857" s="299"/>
      <c r="D857" s="299"/>
      <c r="E857" s="300"/>
      <c r="F857" s="299"/>
      <c r="G857" s="299"/>
      <c r="H857" s="301"/>
      <c r="I857" s="301"/>
      <c r="J857" s="301"/>
      <c r="K857" s="301"/>
      <c r="L857" s="299"/>
      <c r="M857" s="299"/>
      <c r="N857" s="299"/>
      <c r="O857" s="299"/>
      <c r="P857" s="299"/>
      <c r="Q857" s="299"/>
      <c r="R857" s="299"/>
      <c r="S857" s="29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</row>
    <row r="858" ht="15.75" customHeight="1">
      <c r="A858" s="298"/>
      <c r="B858" s="299"/>
      <c r="C858" s="299"/>
      <c r="D858" s="299"/>
      <c r="E858" s="300"/>
      <c r="F858" s="299"/>
      <c r="G858" s="299"/>
      <c r="H858" s="301"/>
      <c r="I858" s="301"/>
      <c r="J858" s="301"/>
      <c r="K858" s="301"/>
      <c r="L858" s="299"/>
      <c r="M858" s="299"/>
      <c r="N858" s="299"/>
      <c r="O858" s="299"/>
      <c r="P858" s="299"/>
      <c r="Q858" s="299"/>
      <c r="R858" s="299"/>
      <c r="S858" s="29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</row>
    <row r="859" ht="15.75" customHeight="1">
      <c r="A859" s="298"/>
      <c r="B859" s="299"/>
      <c r="C859" s="299"/>
      <c r="D859" s="299"/>
      <c r="E859" s="300"/>
      <c r="F859" s="299"/>
      <c r="G859" s="299"/>
      <c r="H859" s="301"/>
      <c r="I859" s="301"/>
      <c r="J859" s="301"/>
      <c r="K859" s="301"/>
      <c r="L859" s="299"/>
      <c r="M859" s="299"/>
      <c r="N859" s="299"/>
      <c r="O859" s="299"/>
      <c r="P859" s="299"/>
      <c r="Q859" s="299"/>
      <c r="R859" s="299"/>
      <c r="S859" s="29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</row>
    <row r="860" ht="15.75" customHeight="1">
      <c r="A860" s="298"/>
      <c r="B860" s="299"/>
      <c r="C860" s="299"/>
      <c r="D860" s="299"/>
      <c r="E860" s="300"/>
      <c r="F860" s="299"/>
      <c r="G860" s="299"/>
      <c r="H860" s="301"/>
      <c r="I860" s="301"/>
      <c r="J860" s="301"/>
      <c r="K860" s="301"/>
      <c r="L860" s="299"/>
      <c r="M860" s="299"/>
      <c r="N860" s="299"/>
      <c r="O860" s="299"/>
      <c r="P860" s="299"/>
      <c r="Q860" s="299"/>
      <c r="R860" s="299"/>
      <c r="S860" s="29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</row>
    <row r="861" ht="15.75" customHeight="1">
      <c r="A861" s="298"/>
      <c r="B861" s="299"/>
      <c r="C861" s="299"/>
      <c r="D861" s="299"/>
      <c r="E861" s="300"/>
      <c r="F861" s="299"/>
      <c r="G861" s="299"/>
      <c r="H861" s="301"/>
      <c r="I861" s="301"/>
      <c r="J861" s="301"/>
      <c r="K861" s="301"/>
      <c r="L861" s="299"/>
      <c r="M861" s="299"/>
      <c r="N861" s="299"/>
      <c r="O861" s="299"/>
      <c r="P861" s="299"/>
      <c r="Q861" s="299"/>
      <c r="R861" s="299"/>
      <c r="S861" s="29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</row>
    <row r="862" ht="15.75" customHeight="1">
      <c r="A862" s="298"/>
      <c r="B862" s="299"/>
      <c r="C862" s="299"/>
      <c r="D862" s="299"/>
      <c r="E862" s="300"/>
      <c r="F862" s="299"/>
      <c r="G862" s="299"/>
      <c r="H862" s="301"/>
      <c r="I862" s="301"/>
      <c r="J862" s="301"/>
      <c r="K862" s="301"/>
      <c r="L862" s="299"/>
      <c r="M862" s="299"/>
      <c r="N862" s="299"/>
      <c r="O862" s="299"/>
      <c r="P862" s="299"/>
      <c r="Q862" s="299"/>
      <c r="R862" s="299"/>
      <c r="S862" s="29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</row>
    <row r="863" ht="15.75" customHeight="1">
      <c r="A863" s="298"/>
      <c r="B863" s="299"/>
      <c r="C863" s="299"/>
      <c r="D863" s="299"/>
      <c r="E863" s="300"/>
      <c r="F863" s="299"/>
      <c r="G863" s="299"/>
      <c r="H863" s="301"/>
      <c r="I863" s="301"/>
      <c r="J863" s="301"/>
      <c r="K863" s="301"/>
      <c r="L863" s="299"/>
      <c r="M863" s="299"/>
      <c r="N863" s="299"/>
      <c r="O863" s="299"/>
      <c r="P863" s="299"/>
      <c r="Q863" s="299"/>
      <c r="R863" s="299"/>
      <c r="S863" s="29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</row>
    <row r="864" ht="15.75" customHeight="1">
      <c r="A864" s="298"/>
      <c r="B864" s="299"/>
      <c r="C864" s="299"/>
      <c r="D864" s="299"/>
      <c r="E864" s="300"/>
      <c r="F864" s="299"/>
      <c r="G864" s="299"/>
      <c r="H864" s="301"/>
      <c r="I864" s="301"/>
      <c r="J864" s="301"/>
      <c r="K864" s="301"/>
      <c r="L864" s="299"/>
      <c r="M864" s="299"/>
      <c r="N864" s="299"/>
      <c r="O864" s="299"/>
      <c r="P864" s="299"/>
      <c r="Q864" s="299"/>
      <c r="R864" s="299"/>
      <c r="S864" s="29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</row>
    <row r="865" ht="15.75" customHeight="1">
      <c r="A865" s="298"/>
      <c r="B865" s="299"/>
      <c r="C865" s="299"/>
      <c r="D865" s="299"/>
      <c r="E865" s="300"/>
      <c r="F865" s="299"/>
      <c r="G865" s="299"/>
      <c r="H865" s="301"/>
      <c r="I865" s="301"/>
      <c r="J865" s="301"/>
      <c r="K865" s="301"/>
      <c r="L865" s="299"/>
      <c r="M865" s="299"/>
      <c r="N865" s="299"/>
      <c r="O865" s="299"/>
      <c r="P865" s="299"/>
      <c r="Q865" s="299"/>
      <c r="R865" s="299"/>
      <c r="S865" s="29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</row>
    <row r="866" ht="15.75" customHeight="1">
      <c r="A866" s="298"/>
      <c r="B866" s="299"/>
      <c r="C866" s="299"/>
      <c r="D866" s="299"/>
      <c r="E866" s="300"/>
      <c r="F866" s="299"/>
      <c r="G866" s="299"/>
      <c r="H866" s="301"/>
      <c r="I866" s="301"/>
      <c r="J866" s="301"/>
      <c r="K866" s="301"/>
      <c r="L866" s="299"/>
      <c r="M866" s="299"/>
      <c r="N866" s="299"/>
      <c r="O866" s="299"/>
      <c r="P866" s="299"/>
      <c r="Q866" s="299"/>
      <c r="R866" s="299"/>
      <c r="S866" s="29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</row>
    <row r="867" ht="15.75" customHeight="1">
      <c r="A867" s="298"/>
      <c r="B867" s="299"/>
      <c r="C867" s="299"/>
      <c r="D867" s="299"/>
      <c r="E867" s="300"/>
      <c r="F867" s="299"/>
      <c r="G867" s="299"/>
      <c r="H867" s="301"/>
      <c r="I867" s="301"/>
      <c r="J867" s="301"/>
      <c r="K867" s="301"/>
      <c r="L867" s="299"/>
      <c r="M867" s="299"/>
      <c r="N867" s="299"/>
      <c r="O867" s="299"/>
      <c r="P867" s="299"/>
      <c r="Q867" s="299"/>
      <c r="R867" s="299"/>
      <c r="S867" s="29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</row>
    <row r="868" ht="15.75" customHeight="1">
      <c r="A868" s="298"/>
      <c r="B868" s="299"/>
      <c r="C868" s="299"/>
      <c r="D868" s="299"/>
      <c r="E868" s="300"/>
      <c r="F868" s="299"/>
      <c r="G868" s="299"/>
      <c r="H868" s="301"/>
      <c r="I868" s="301"/>
      <c r="J868" s="301"/>
      <c r="K868" s="301"/>
      <c r="L868" s="299"/>
      <c r="M868" s="299"/>
      <c r="N868" s="299"/>
      <c r="O868" s="299"/>
      <c r="P868" s="299"/>
      <c r="Q868" s="299"/>
      <c r="R868" s="299"/>
      <c r="S868" s="29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</row>
    <row r="869" ht="15.75" customHeight="1">
      <c r="A869" s="298"/>
      <c r="B869" s="299"/>
      <c r="C869" s="299"/>
      <c r="D869" s="299"/>
      <c r="E869" s="300"/>
      <c r="F869" s="299"/>
      <c r="G869" s="299"/>
      <c r="H869" s="301"/>
      <c r="I869" s="301"/>
      <c r="J869" s="301"/>
      <c r="K869" s="301"/>
      <c r="L869" s="299"/>
      <c r="M869" s="299"/>
      <c r="N869" s="299"/>
      <c r="O869" s="299"/>
      <c r="P869" s="299"/>
      <c r="Q869" s="299"/>
      <c r="R869" s="299"/>
      <c r="S869" s="29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</row>
    <row r="870" ht="15.75" customHeight="1">
      <c r="A870" s="298"/>
      <c r="B870" s="299"/>
      <c r="C870" s="299"/>
      <c r="D870" s="299"/>
      <c r="E870" s="300"/>
      <c r="F870" s="299"/>
      <c r="G870" s="299"/>
      <c r="H870" s="301"/>
      <c r="I870" s="301"/>
      <c r="J870" s="301"/>
      <c r="K870" s="301"/>
      <c r="L870" s="299"/>
      <c r="M870" s="299"/>
      <c r="N870" s="299"/>
      <c r="O870" s="299"/>
      <c r="P870" s="299"/>
      <c r="Q870" s="299"/>
      <c r="R870" s="299"/>
      <c r="S870" s="29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</row>
    <row r="871" ht="15.75" customHeight="1">
      <c r="A871" s="298"/>
      <c r="B871" s="299"/>
      <c r="C871" s="299"/>
      <c r="D871" s="299"/>
      <c r="E871" s="300"/>
      <c r="F871" s="299"/>
      <c r="G871" s="299"/>
      <c r="H871" s="301"/>
      <c r="I871" s="301"/>
      <c r="J871" s="301"/>
      <c r="K871" s="301"/>
      <c r="L871" s="299"/>
      <c r="M871" s="299"/>
      <c r="N871" s="299"/>
      <c r="O871" s="299"/>
      <c r="P871" s="299"/>
      <c r="Q871" s="299"/>
      <c r="R871" s="299"/>
      <c r="S871" s="29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</row>
    <row r="872" ht="15.75" customHeight="1">
      <c r="A872" s="298"/>
      <c r="B872" s="299"/>
      <c r="C872" s="299"/>
      <c r="D872" s="299"/>
      <c r="E872" s="300"/>
      <c r="F872" s="299"/>
      <c r="G872" s="299"/>
      <c r="H872" s="301"/>
      <c r="I872" s="301"/>
      <c r="J872" s="301"/>
      <c r="K872" s="301"/>
      <c r="L872" s="299"/>
      <c r="M872" s="299"/>
      <c r="N872" s="299"/>
      <c r="O872" s="299"/>
      <c r="P872" s="299"/>
      <c r="Q872" s="299"/>
      <c r="R872" s="299"/>
      <c r="S872" s="29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</row>
    <row r="873" ht="15.75" customHeight="1">
      <c r="A873" s="298"/>
      <c r="B873" s="299"/>
      <c r="C873" s="299"/>
      <c r="D873" s="299"/>
      <c r="E873" s="300"/>
      <c r="F873" s="299"/>
      <c r="G873" s="299"/>
      <c r="H873" s="301"/>
      <c r="I873" s="301"/>
      <c r="J873" s="301"/>
      <c r="K873" s="301"/>
      <c r="L873" s="299"/>
      <c r="M873" s="299"/>
      <c r="N873" s="299"/>
      <c r="O873" s="299"/>
      <c r="P873" s="299"/>
      <c r="Q873" s="299"/>
      <c r="R873" s="299"/>
      <c r="S873" s="29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</row>
    <row r="874" ht="15.75" customHeight="1">
      <c r="A874" s="298"/>
      <c r="B874" s="299"/>
      <c r="C874" s="299"/>
      <c r="D874" s="299"/>
      <c r="E874" s="300"/>
      <c r="F874" s="299"/>
      <c r="G874" s="299"/>
      <c r="H874" s="301"/>
      <c r="I874" s="301"/>
      <c r="J874" s="301"/>
      <c r="K874" s="301"/>
      <c r="L874" s="299"/>
      <c r="M874" s="299"/>
      <c r="N874" s="299"/>
      <c r="O874" s="299"/>
      <c r="P874" s="299"/>
      <c r="Q874" s="299"/>
      <c r="R874" s="299"/>
      <c r="S874" s="29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</row>
    <row r="875" ht="15.75" customHeight="1">
      <c r="A875" s="298"/>
      <c r="B875" s="299"/>
      <c r="C875" s="299"/>
      <c r="D875" s="299"/>
      <c r="E875" s="300"/>
      <c r="F875" s="299"/>
      <c r="G875" s="299"/>
      <c r="H875" s="301"/>
      <c r="I875" s="301"/>
      <c r="J875" s="301"/>
      <c r="K875" s="301"/>
      <c r="L875" s="299"/>
      <c r="M875" s="299"/>
      <c r="N875" s="299"/>
      <c r="O875" s="299"/>
      <c r="P875" s="299"/>
      <c r="Q875" s="299"/>
      <c r="R875" s="299"/>
      <c r="S875" s="29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</row>
    <row r="876" ht="15.75" customHeight="1">
      <c r="A876" s="298"/>
      <c r="B876" s="299"/>
      <c r="C876" s="299"/>
      <c r="D876" s="299"/>
      <c r="E876" s="300"/>
      <c r="F876" s="299"/>
      <c r="G876" s="299"/>
      <c r="H876" s="301"/>
      <c r="I876" s="301"/>
      <c r="J876" s="301"/>
      <c r="K876" s="301"/>
      <c r="L876" s="299"/>
      <c r="M876" s="299"/>
      <c r="N876" s="299"/>
      <c r="O876" s="299"/>
      <c r="P876" s="299"/>
      <c r="Q876" s="299"/>
      <c r="R876" s="299"/>
      <c r="S876" s="29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</row>
    <row r="877" ht="15.75" customHeight="1">
      <c r="A877" s="298"/>
      <c r="B877" s="299"/>
      <c r="C877" s="299"/>
      <c r="D877" s="299"/>
      <c r="E877" s="300"/>
      <c r="F877" s="299"/>
      <c r="G877" s="299"/>
      <c r="H877" s="301"/>
      <c r="I877" s="301"/>
      <c r="J877" s="301"/>
      <c r="K877" s="301"/>
      <c r="L877" s="299"/>
      <c r="M877" s="299"/>
      <c r="N877" s="299"/>
      <c r="O877" s="299"/>
      <c r="P877" s="299"/>
      <c r="Q877" s="299"/>
      <c r="R877" s="299"/>
      <c r="S877" s="29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</row>
    <row r="878" ht="15.75" customHeight="1">
      <c r="A878" s="298"/>
      <c r="B878" s="299"/>
      <c r="C878" s="299"/>
      <c r="D878" s="299"/>
      <c r="E878" s="300"/>
      <c r="F878" s="299"/>
      <c r="G878" s="299"/>
      <c r="H878" s="301"/>
      <c r="I878" s="301"/>
      <c r="J878" s="301"/>
      <c r="K878" s="301"/>
      <c r="L878" s="299"/>
      <c r="M878" s="299"/>
      <c r="N878" s="299"/>
      <c r="O878" s="299"/>
      <c r="P878" s="299"/>
      <c r="Q878" s="299"/>
      <c r="R878" s="299"/>
      <c r="S878" s="29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</row>
    <row r="879" ht="15.75" customHeight="1">
      <c r="A879" s="298"/>
      <c r="B879" s="299"/>
      <c r="C879" s="299"/>
      <c r="D879" s="299"/>
      <c r="E879" s="300"/>
      <c r="F879" s="299"/>
      <c r="G879" s="299"/>
      <c r="H879" s="301"/>
      <c r="I879" s="301"/>
      <c r="J879" s="301"/>
      <c r="K879" s="301"/>
      <c r="L879" s="299"/>
      <c r="M879" s="299"/>
      <c r="N879" s="299"/>
      <c r="O879" s="299"/>
      <c r="P879" s="299"/>
      <c r="Q879" s="299"/>
      <c r="R879" s="299"/>
      <c r="S879" s="29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</row>
    <row r="880" ht="15.75" customHeight="1">
      <c r="A880" s="298"/>
      <c r="B880" s="299"/>
      <c r="C880" s="299"/>
      <c r="D880" s="299"/>
      <c r="E880" s="300"/>
      <c r="F880" s="299"/>
      <c r="G880" s="299"/>
      <c r="H880" s="301"/>
      <c r="I880" s="301"/>
      <c r="J880" s="301"/>
      <c r="K880" s="301"/>
      <c r="L880" s="299"/>
      <c r="M880" s="299"/>
      <c r="N880" s="299"/>
      <c r="O880" s="299"/>
      <c r="P880" s="299"/>
      <c r="Q880" s="299"/>
      <c r="R880" s="299"/>
      <c r="S880" s="29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</row>
    <row r="881" ht="15.75" customHeight="1">
      <c r="A881" s="298"/>
      <c r="B881" s="299"/>
      <c r="C881" s="299"/>
      <c r="D881" s="299"/>
      <c r="E881" s="300"/>
      <c r="F881" s="299"/>
      <c r="G881" s="299"/>
      <c r="H881" s="301"/>
      <c r="I881" s="301"/>
      <c r="J881" s="301"/>
      <c r="K881" s="301"/>
      <c r="L881" s="299"/>
      <c r="M881" s="299"/>
      <c r="N881" s="299"/>
      <c r="O881" s="299"/>
      <c r="P881" s="299"/>
      <c r="Q881" s="299"/>
      <c r="R881" s="299"/>
      <c r="S881" s="29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</row>
    <row r="882" ht="15.75" customHeight="1">
      <c r="A882" s="298"/>
      <c r="B882" s="299"/>
      <c r="C882" s="299"/>
      <c r="D882" s="299"/>
      <c r="E882" s="300"/>
      <c r="F882" s="299"/>
      <c r="G882" s="299"/>
      <c r="H882" s="301"/>
      <c r="I882" s="301"/>
      <c r="J882" s="301"/>
      <c r="K882" s="301"/>
      <c r="L882" s="299"/>
      <c r="M882" s="299"/>
      <c r="N882" s="299"/>
      <c r="O882" s="299"/>
      <c r="P882" s="299"/>
      <c r="Q882" s="299"/>
      <c r="R882" s="299"/>
      <c r="S882" s="29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</row>
    <row r="883" ht="15.75" customHeight="1">
      <c r="A883" s="298"/>
      <c r="B883" s="299"/>
      <c r="C883" s="299"/>
      <c r="D883" s="299"/>
      <c r="E883" s="300"/>
      <c r="F883" s="299"/>
      <c r="G883" s="299"/>
      <c r="H883" s="301"/>
      <c r="I883" s="301"/>
      <c r="J883" s="301"/>
      <c r="K883" s="301"/>
      <c r="L883" s="299"/>
      <c r="M883" s="299"/>
      <c r="N883" s="299"/>
      <c r="O883" s="299"/>
      <c r="P883" s="299"/>
      <c r="Q883" s="299"/>
      <c r="R883" s="299"/>
      <c r="S883" s="29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</row>
    <row r="884" ht="15.75" customHeight="1">
      <c r="A884" s="298"/>
      <c r="B884" s="299"/>
      <c r="C884" s="299"/>
      <c r="D884" s="299"/>
      <c r="E884" s="300"/>
      <c r="F884" s="299"/>
      <c r="G884" s="299"/>
      <c r="H884" s="301"/>
      <c r="I884" s="301"/>
      <c r="J884" s="301"/>
      <c r="K884" s="301"/>
      <c r="L884" s="299"/>
      <c r="M884" s="299"/>
      <c r="N884" s="299"/>
      <c r="O884" s="299"/>
      <c r="P884" s="299"/>
      <c r="Q884" s="299"/>
      <c r="R884" s="299"/>
      <c r="S884" s="29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</row>
    <row r="885" ht="15.75" customHeight="1">
      <c r="A885" s="298"/>
      <c r="B885" s="299"/>
      <c r="C885" s="299"/>
      <c r="D885" s="299"/>
      <c r="E885" s="300"/>
      <c r="F885" s="299"/>
      <c r="G885" s="299"/>
      <c r="H885" s="301"/>
      <c r="I885" s="301"/>
      <c r="J885" s="301"/>
      <c r="K885" s="301"/>
      <c r="L885" s="299"/>
      <c r="M885" s="299"/>
      <c r="N885" s="299"/>
      <c r="O885" s="299"/>
      <c r="P885" s="299"/>
      <c r="Q885" s="299"/>
      <c r="R885" s="299"/>
      <c r="S885" s="29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</row>
    <row r="886" ht="15.75" customHeight="1">
      <c r="A886" s="298"/>
      <c r="B886" s="299"/>
      <c r="C886" s="299"/>
      <c r="D886" s="299"/>
      <c r="E886" s="300"/>
      <c r="F886" s="299"/>
      <c r="G886" s="299"/>
      <c r="H886" s="301"/>
      <c r="I886" s="301"/>
      <c r="J886" s="301"/>
      <c r="K886" s="301"/>
      <c r="L886" s="299"/>
      <c r="M886" s="299"/>
      <c r="N886" s="299"/>
      <c r="O886" s="299"/>
      <c r="P886" s="299"/>
      <c r="Q886" s="299"/>
      <c r="R886" s="299"/>
      <c r="S886" s="29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</row>
    <row r="887" ht="15.75" customHeight="1">
      <c r="A887" s="298"/>
      <c r="B887" s="299"/>
      <c r="C887" s="299"/>
      <c r="D887" s="299"/>
      <c r="E887" s="300"/>
      <c r="F887" s="299"/>
      <c r="G887" s="299"/>
      <c r="H887" s="301"/>
      <c r="I887" s="301"/>
      <c r="J887" s="301"/>
      <c r="K887" s="301"/>
      <c r="L887" s="299"/>
      <c r="M887" s="299"/>
      <c r="N887" s="299"/>
      <c r="O887" s="299"/>
      <c r="P887" s="299"/>
      <c r="Q887" s="299"/>
      <c r="R887" s="299"/>
      <c r="S887" s="29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</row>
    <row r="888" ht="15.75" customHeight="1">
      <c r="A888" s="298"/>
      <c r="B888" s="299"/>
      <c r="C888" s="299"/>
      <c r="D888" s="299"/>
      <c r="E888" s="300"/>
      <c r="F888" s="299"/>
      <c r="G888" s="299"/>
      <c r="H888" s="301"/>
      <c r="I888" s="301"/>
      <c r="J888" s="301"/>
      <c r="K888" s="301"/>
      <c r="L888" s="299"/>
      <c r="M888" s="299"/>
      <c r="N888" s="299"/>
      <c r="O888" s="299"/>
      <c r="P888" s="299"/>
      <c r="Q888" s="299"/>
      <c r="R888" s="299"/>
      <c r="S888" s="29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</row>
    <row r="889" ht="15.75" customHeight="1">
      <c r="A889" s="298"/>
      <c r="B889" s="299"/>
      <c r="C889" s="299"/>
      <c r="D889" s="299"/>
      <c r="E889" s="300"/>
      <c r="F889" s="299"/>
      <c r="G889" s="299"/>
      <c r="H889" s="301"/>
      <c r="I889" s="301"/>
      <c r="J889" s="301"/>
      <c r="K889" s="301"/>
      <c r="L889" s="299"/>
      <c r="M889" s="299"/>
      <c r="N889" s="299"/>
      <c r="O889" s="299"/>
      <c r="P889" s="299"/>
      <c r="Q889" s="299"/>
      <c r="R889" s="299"/>
      <c r="S889" s="29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</row>
    <row r="890" ht="15.75" customHeight="1">
      <c r="A890" s="298"/>
      <c r="B890" s="299"/>
      <c r="C890" s="299"/>
      <c r="D890" s="299"/>
      <c r="E890" s="300"/>
      <c r="F890" s="299"/>
      <c r="G890" s="299"/>
      <c r="H890" s="301"/>
      <c r="I890" s="301"/>
      <c r="J890" s="301"/>
      <c r="K890" s="301"/>
      <c r="L890" s="299"/>
      <c r="M890" s="299"/>
      <c r="N890" s="299"/>
      <c r="O890" s="299"/>
      <c r="P890" s="299"/>
      <c r="Q890" s="299"/>
      <c r="R890" s="299"/>
      <c r="S890" s="29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</row>
    <row r="891" ht="15.75" customHeight="1">
      <c r="A891" s="298"/>
      <c r="B891" s="299"/>
      <c r="C891" s="299"/>
      <c r="D891" s="299"/>
      <c r="E891" s="300"/>
      <c r="F891" s="299"/>
      <c r="G891" s="299"/>
      <c r="H891" s="301"/>
      <c r="I891" s="301"/>
      <c r="J891" s="301"/>
      <c r="K891" s="301"/>
      <c r="L891" s="299"/>
      <c r="M891" s="299"/>
      <c r="N891" s="299"/>
      <c r="O891" s="299"/>
      <c r="P891" s="299"/>
      <c r="Q891" s="299"/>
      <c r="R891" s="299"/>
      <c r="S891" s="29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</row>
    <row r="892" ht="15.75" customHeight="1">
      <c r="A892" s="298"/>
      <c r="B892" s="299"/>
      <c r="C892" s="299"/>
      <c r="D892" s="299"/>
      <c r="E892" s="300"/>
      <c r="F892" s="299"/>
      <c r="G892" s="299"/>
      <c r="H892" s="301"/>
      <c r="I892" s="301"/>
      <c r="J892" s="301"/>
      <c r="K892" s="301"/>
      <c r="L892" s="299"/>
      <c r="M892" s="299"/>
      <c r="N892" s="299"/>
      <c r="O892" s="299"/>
      <c r="P892" s="299"/>
      <c r="Q892" s="299"/>
      <c r="R892" s="299"/>
      <c r="S892" s="29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</row>
    <row r="893" ht="15.75" customHeight="1">
      <c r="A893" s="298"/>
      <c r="B893" s="299"/>
      <c r="C893" s="299"/>
      <c r="D893" s="299"/>
      <c r="E893" s="300"/>
      <c r="F893" s="299"/>
      <c r="G893" s="299"/>
      <c r="H893" s="301"/>
      <c r="I893" s="301"/>
      <c r="J893" s="301"/>
      <c r="K893" s="301"/>
      <c r="L893" s="299"/>
      <c r="M893" s="299"/>
      <c r="N893" s="299"/>
      <c r="O893" s="299"/>
      <c r="P893" s="299"/>
      <c r="Q893" s="299"/>
      <c r="R893" s="299"/>
      <c r="S893" s="29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</row>
    <row r="894" ht="15.75" customHeight="1">
      <c r="A894" s="298"/>
      <c r="B894" s="299"/>
      <c r="C894" s="299"/>
      <c r="D894" s="299"/>
      <c r="E894" s="300"/>
      <c r="F894" s="299"/>
      <c r="G894" s="299"/>
      <c r="H894" s="301"/>
      <c r="I894" s="301"/>
      <c r="J894" s="301"/>
      <c r="K894" s="301"/>
      <c r="L894" s="299"/>
      <c r="M894" s="299"/>
      <c r="N894" s="299"/>
      <c r="O894" s="299"/>
      <c r="P894" s="299"/>
      <c r="Q894" s="299"/>
      <c r="R894" s="299"/>
      <c r="S894" s="29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</row>
    <row r="895" ht="15.75" customHeight="1">
      <c r="A895" s="298"/>
      <c r="B895" s="299"/>
      <c r="C895" s="299"/>
      <c r="D895" s="299"/>
      <c r="E895" s="300"/>
      <c r="F895" s="299"/>
      <c r="G895" s="299"/>
      <c r="H895" s="301"/>
      <c r="I895" s="301"/>
      <c r="J895" s="301"/>
      <c r="K895" s="301"/>
      <c r="L895" s="299"/>
      <c r="M895" s="299"/>
      <c r="N895" s="299"/>
      <c r="O895" s="299"/>
      <c r="P895" s="299"/>
      <c r="Q895" s="299"/>
      <c r="R895" s="299"/>
      <c r="S895" s="29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</row>
    <row r="896" ht="15.75" customHeight="1">
      <c r="A896" s="298"/>
      <c r="B896" s="299"/>
      <c r="C896" s="299"/>
      <c r="D896" s="299"/>
      <c r="E896" s="300"/>
      <c r="F896" s="299"/>
      <c r="G896" s="299"/>
      <c r="H896" s="301"/>
      <c r="I896" s="301"/>
      <c r="J896" s="301"/>
      <c r="K896" s="301"/>
      <c r="L896" s="299"/>
      <c r="M896" s="299"/>
      <c r="N896" s="299"/>
      <c r="O896" s="299"/>
      <c r="P896" s="299"/>
      <c r="Q896" s="299"/>
      <c r="R896" s="299"/>
      <c r="S896" s="29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</row>
    <row r="897" ht="15.75" customHeight="1">
      <c r="A897" s="298"/>
      <c r="B897" s="299"/>
      <c r="C897" s="299"/>
      <c r="D897" s="299"/>
      <c r="E897" s="300"/>
      <c r="F897" s="299"/>
      <c r="G897" s="299"/>
      <c r="H897" s="301"/>
      <c r="I897" s="301"/>
      <c r="J897" s="301"/>
      <c r="K897" s="301"/>
      <c r="L897" s="299"/>
      <c r="M897" s="299"/>
      <c r="N897" s="299"/>
      <c r="O897" s="299"/>
      <c r="P897" s="299"/>
      <c r="Q897" s="299"/>
      <c r="R897" s="299"/>
      <c r="S897" s="29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</row>
    <row r="898" ht="15.75" customHeight="1">
      <c r="A898" s="298"/>
      <c r="B898" s="299"/>
      <c r="C898" s="299"/>
      <c r="D898" s="299"/>
      <c r="E898" s="300"/>
      <c r="F898" s="299"/>
      <c r="G898" s="299"/>
      <c r="H898" s="301"/>
      <c r="I898" s="301"/>
      <c r="J898" s="301"/>
      <c r="K898" s="301"/>
      <c r="L898" s="299"/>
      <c r="M898" s="299"/>
      <c r="N898" s="299"/>
      <c r="O898" s="299"/>
      <c r="P898" s="299"/>
      <c r="Q898" s="299"/>
      <c r="R898" s="299"/>
      <c r="S898" s="29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</row>
    <row r="899" ht="15.75" customHeight="1">
      <c r="A899" s="298"/>
      <c r="B899" s="299"/>
      <c r="C899" s="299"/>
      <c r="D899" s="299"/>
      <c r="E899" s="300"/>
      <c r="F899" s="299"/>
      <c r="G899" s="299"/>
      <c r="H899" s="301"/>
      <c r="I899" s="301"/>
      <c r="J899" s="301"/>
      <c r="K899" s="301"/>
      <c r="L899" s="299"/>
      <c r="M899" s="299"/>
      <c r="N899" s="299"/>
      <c r="O899" s="299"/>
      <c r="P899" s="299"/>
      <c r="Q899" s="299"/>
      <c r="R899" s="299"/>
      <c r="S899" s="29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</row>
    <row r="900" ht="15.75" customHeight="1">
      <c r="A900" s="298"/>
      <c r="B900" s="299"/>
      <c r="C900" s="299"/>
      <c r="D900" s="299"/>
      <c r="E900" s="300"/>
      <c r="F900" s="299"/>
      <c r="G900" s="299"/>
      <c r="H900" s="301"/>
      <c r="I900" s="301"/>
      <c r="J900" s="301"/>
      <c r="K900" s="301"/>
      <c r="L900" s="299"/>
      <c r="M900" s="299"/>
      <c r="N900" s="299"/>
      <c r="O900" s="299"/>
      <c r="P900" s="299"/>
      <c r="Q900" s="299"/>
      <c r="R900" s="299"/>
      <c r="S900" s="29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</row>
    <row r="901" ht="15.75" customHeight="1">
      <c r="A901" s="298"/>
      <c r="B901" s="299"/>
      <c r="C901" s="299"/>
      <c r="D901" s="299"/>
      <c r="E901" s="300"/>
      <c r="F901" s="299"/>
      <c r="G901" s="299"/>
      <c r="H901" s="301"/>
      <c r="I901" s="301"/>
      <c r="J901" s="301"/>
      <c r="K901" s="301"/>
      <c r="L901" s="299"/>
      <c r="M901" s="299"/>
      <c r="N901" s="299"/>
      <c r="O901" s="299"/>
      <c r="P901" s="299"/>
      <c r="Q901" s="299"/>
      <c r="R901" s="299"/>
      <c r="S901" s="29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</row>
    <row r="902" ht="15.75" customHeight="1">
      <c r="A902" s="298"/>
      <c r="B902" s="299"/>
      <c r="C902" s="299"/>
      <c r="D902" s="299"/>
      <c r="E902" s="300"/>
      <c r="F902" s="299"/>
      <c r="G902" s="299"/>
      <c r="H902" s="301"/>
      <c r="I902" s="301"/>
      <c r="J902" s="301"/>
      <c r="K902" s="301"/>
      <c r="L902" s="299"/>
      <c r="M902" s="299"/>
      <c r="N902" s="299"/>
      <c r="O902" s="299"/>
      <c r="P902" s="299"/>
      <c r="Q902" s="299"/>
      <c r="R902" s="299"/>
      <c r="S902" s="29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</row>
    <row r="903" ht="15.75" customHeight="1">
      <c r="A903" s="298"/>
      <c r="B903" s="299"/>
      <c r="C903" s="299"/>
      <c r="D903" s="299"/>
      <c r="E903" s="300"/>
      <c r="F903" s="299"/>
      <c r="G903" s="299"/>
      <c r="H903" s="301"/>
      <c r="I903" s="301"/>
      <c r="J903" s="301"/>
      <c r="K903" s="301"/>
      <c r="L903" s="299"/>
      <c r="M903" s="299"/>
      <c r="N903" s="299"/>
      <c r="O903" s="299"/>
      <c r="P903" s="299"/>
      <c r="Q903" s="299"/>
      <c r="R903" s="299"/>
      <c r="S903" s="29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</row>
    <row r="904" ht="15.75" customHeight="1">
      <c r="A904" s="298"/>
      <c r="B904" s="299"/>
      <c r="C904" s="299"/>
      <c r="D904" s="299"/>
      <c r="E904" s="300"/>
      <c r="F904" s="299"/>
      <c r="G904" s="299"/>
      <c r="H904" s="301"/>
      <c r="I904" s="301"/>
      <c r="J904" s="301"/>
      <c r="K904" s="301"/>
      <c r="L904" s="299"/>
      <c r="M904" s="299"/>
      <c r="N904" s="299"/>
      <c r="O904" s="299"/>
      <c r="P904" s="299"/>
      <c r="Q904" s="299"/>
      <c r="R904" s="299"/>
      <c r="S904" s="29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</row>
    <row r="905" ht="15.75" customHeight="1">
      <c r="A905" s="298"/>
      <c r="B905" s="299"/>
      <c r="C905" s="299"/>
      <c r="D905" s="299"/>
      <c r="E905" s="300"/>
      <c r="F905" s="299"/>
      <c r="G905" s="299"/>
      <c r="H905" s="301"/>
      <c r="I905" s="301"/>
      <c r="J905" s="301"/>
      <c r="K905" s="301"/>
      <c r="L905" s="299"/>
      <c r="M905" s="299"/>
      <c r="N905" s="299"/>
      <c r="O905" s="299"/>
      <c r="P905" s="299"/>
      <c r="Q905" s="299"/>
      <c r="R905" s="299"/>
      <c r="S905" s="29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</row>
    <row r="906" ht="15.75" customHeight="1">
      <c r="A906" s="298"/>
      <c r="B906" s="299"/>
      <c r="C906" s="299"/>
      <c r="D906" s="299"/>
      <c r="E906" s="300"/>
      <c r="F906" s="299"/>
      <c r="G906" s="299"/>
      <c r="H906" s="301"/>
      <c r="I906" s="301"/>
      <c r="J906" s="301"/>
      <c r="K906" s="301"/>
      <c r="L906" s="299"/>
      <c r="M906" s="299"/>
      <c r="N906" s="299"/>
      <c r="O906" s="299"/>
      <c r="P906" s="299"/>
      <c r="Q906" s="299"/>
      <c r="R906" s="299"/>
      <c r="S906" s="29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</row>
    <row r="907" ht="15.75" customHeight="1">
      <c r="A907" s="298"/>
      <c r="B907" s="299"/>
      <c r="C907" s="299"/>
      <c r="D907" s="299"/>
      <c r="E907" s="300"/>
      <c r="F907" s="299"/>
      <c r="G907" s="299"/>
      <c r="H907" s="301"/>
      <c r="I907" s="301"/>
      <c r="J907" s="301"/>
      <c r="K907" s="301"/>
      <c r="L907" s="299"/>
      <c r="M907" s="299"/>
      <c r="N907" s="299"/>
      <c r="O907" s="299"/>
      <c r="P907" s="299"/>
      <c r="Q907" s="299"/>
      <c r="R907" s="299"/>
      <c r="S907" s="29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</row>
    <row r="908" ht="15.75" customHeight="1">
      <c r="A908" s="298"/>
      <c r="B908" s="299"/>
      <c r="C908" s="299"/>
      <c r="D908" s="299"/>
      <c r="E908" s="300"/>
      <c r="F908" s="299"/>
      <c r="G908" s="299"/>
      <c r="H908" s="301"/>
      <c r="I908" s="301"/>
      <c r="J908" s="301"/>
      <c r="K908" s="301"/>
      <c r="L908" s="299"/>
      <c r="M908" s="299"/>
      <c r="N908" s="299"/>
      <c r="O908" s="299"/>
      <c r="P908" s="299"/>
      <c r="Q908" s="299"/>
      <c r="R908" s="299"/>
      <c r="S908" s="29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</row>
    <row r="909" ht="15.75" customHeight="1">
      <c r="A909" s="298"/>
      <c r="B909" s="299"/>
      <c r="C909" s="299"/>
      <c r="D909" s="299"/>
      <c r="E909" s="300"/>
      <c r="F909" s="299"/>
      <c r="G909" s="299"/>
      <c r="H909" s="301"/>
      <c r="I909" s="301"/>
      <c r="J909" s="301"/>
      <c r="K909" s="301"/>
      <c r="L909" s="299"/>
      <c r="M909" s="299"/>
      <c r="N909" s="299"/>
      <c r="O909" s="299"/>
      <c r="P909" s="299"/>
      <c r="Q909" s="299"/>
      <c r="R909" s="299"/>
      <c r="S909" s="29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</row>
    <row r="910" ht="15.75" customHeight="1">
      <c r="A910" s="298"/>
      <c r="B910" s="299"/>
      <c r="C910" s="299"/>
      <c r="D910" s="299"/>
      <c r="E910" s="300"/>
      <c r="F910" s="299"/>
      <c r="G910" s="299"/>
      <c r="H910" s="301"/>
      <c r="I910" s="301"/>
      <c r="J910" s="301"/>
      <c r="K910" s="301"/>
      <c r="L910" s="299"/>
      <c r="M910" s="299"/>
      <c r="N910" s="299"/>
      <c r="O910" s="299"/>
      <c r="P910" s="299"/>
      <c r="Q910" s="299"/>
      <c r="R910" s="299"/>
      <c r="S910" s="29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</row>
    <row r="911" ht="15.75" customHeight="1">
      <c r="A911" s="298"/>
      <c r="B911" s="299"/>
      <c r="C911" s="299"/>
      <c r="D911" s="299"/>
      <c r="E911" s="300"/>
      <c r="F911" s="299"/>
      <c r="G911" s="299"/>
      <c r="H911" s="301"/>
      <c r="I911" s="301"/>
      <c r="J911" s="301"/>
      <c r="K911" s="301"/>
      <c r="L911" s="299"/>
      <c r="M911" s="299"/>
      <c r="N911" s="299"/>
      <c r="O911" s="299"/>
      <c r="P911" s="299"/>
      <c r="Q911" s="299"/>
      <c r="R911" s="299"/>
      <c r="S911" s="29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</row>
    <row r="912" ht="15.75" customHeight="1">
      <c r="A912" s="298"/>
      <c r="B912" s="299"/>
      <c r="C912" s="299"/>
      <c r="D912" s="299"/>
      <c r="E912" s="300"/>
      <c r="F912" s="299"/>
      <c r="G912" s="299"/>
      <c r="H912" s="301"/>
      <c r="I912" s="301"/>
      <c r="J912" s="301"/>
      <c r="K912" s="301"/>
      <c r="L912" s="299"/>
      <c r="M912" s="299"/>
      <c r="N912" s="299"/>
      <c r="O912" s="299"/>
      <c r="P912" s="299"/>
      <c r="Q912" s="299"/>
      <c r="R912" s="299"/>
      <c r="S912" s="29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</row>
    <row r="913" ht="15.75" customHeight="1">
      <c r="A913" s="298"/>
      <c r="B913" s="299"/>
      <c r="C913" s="299"/>
      <c r="D913" s="299"/>
      <c r="E913" s="300"/>
      <c r="F913" s="299"/>
      <c r="G913" s="299"/>
      <c r="H913" s="301"/>
      <c r="I913" s="301"/>
      <c r="J913" s="301"/>
      <c r="K913" s="301"/>
      <c r="L913" s="299"/>
      <c r="M913" s="299"/>
      <c r="N913" s="299"/>
      <c r="O913" s="299"/>
      <c r="P913" s="299"/>
      <c r="Q913" s="299"/>
      <c r="R913" s="299"/>
      <c r="S913" s="29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</row>
    <row r="914" ht="15.75" customHeight="1">
      <c r="A914" s="298"/>
      <c r="B914" s="299"/>
      <c r="C914" s="299"/>
      <c r="D914" s="299"/>
      <c r="E914" s="300"/>
      <c r="F914" s="299"/>
      <c r="G914" s="299"/>
      <c r="H914" s="301"/>
      <c r="I914" s="301"/>
      <c r="J914" s="301"/>
      <c r="K914" s="301"/>
      <c r="L914" s="299"/>
      <c r="M914" s="299"/>
      <c r="N914" s="299"/>
      <c r="O914" s="299"/>
      <c r="P914" s="299"/>
      <c r="Q914" s="299"/>
      <c r="R914" s="299"/>
      <c r="S914" s="29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</row>
    <row r="915" ht="15.75" customHeight="1">
      <c r="A915" s="298"/>
      <c r="B915" s="299"/>
      <c r="C915" s="299"/>
      <c r="D915" s="299"/>
      <c r="E915" s="300"/>
      <c r="F915" s="299"/>
      <c r="G915" s="299"/>
      <c r="H915" s="301"/>
      <c r="I915" s="301"/>
      <c r="J915" s="301"/>
      <c r="K915" s="301"/>
      <c r="L915" s="299"/>
      <c r="M915" s="299"/>
      <c r="N915" s="299"/>
      <c r="O915" s="299"/>
      <c r="P915" s="299"/>
      <c r="Q915" s="299"/>
      <c r="R915" s="299"/>
      <c r="S915" s="29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</row>
    <row r="916" ht="15.75" customHeight="1">
      <c r="A916" s="298"/>
      <c r="B916" s="299"/>
      <c r="C916" s="299"/>
      <c r="D916" s="299"/>
      <c r="E916" s="300"/>
      <c r="F916" s="299"/>
      <c r="G916" s="299"/>
      <c r="H916" s="301"/>
      <c r="I916" s="301"/>
      <c r="J916" s="301"/>
      <c r="K916" s="301"/>
      <c r="L916" s="299"/>
      <c r="M916" s="299"/>
      <c r="N916" s="299"/>
      <c r="O916" s="299"/>
      <c r="P916" s="299"/>
      <c r="Q916" s="299"/>
      <c r="R916" s="299"/>
      <c r="S916" s="29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</row>
    <row r="917" ht="15.75" customHeight="1">
      <c r="A917" s="298"/>
      <c r="B917" s="299"/>
      <c r="C917" s="299"/>
      <c r="D917" s="299"/>
      <c r="E917" s="300"/>
      <c r="F917" s="299"/>
      <c r="G917" s="299"/>
      <c r="H917" s="301"/>
      <c r="I917" s="301"/>
      <c r="J917" s="301"/>
      <c r="K917" s="301"/>
      <c r="L917" s="299"/>
      <c r="M917" s="299"/>
      <c r="N917" s="299"/>
      <c r="O917" s="299"/>
      <c r="P917" s="299"/>
      <c r="Q917" s="299"/>
      <c r="R917" s="299"/>
      <c r="S917" s="29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</row>
    <row r="918" ht="15.75" customHeight="1">
      <c r="A918" s="298"/>
      <c r="B918" s="299"/>
      <c r="C918" s="299"/>
      <c r="D918" s="299"/>
      <c r="E918" s="300"/>
      <c r="F918" s="299"/>
      <c r="G918" s="299"/>
      <c r="H918" s="301"/>
      <c r="I918" s="301"/>
      <c r="J918" s="301"/>
      <c r="K918" s="301"/>
      <c r="L918" s="299"/>
      <c r="M918" s="299"/>
      <c r="N918" s="299"/>
      <c r="O918" s="299"/>
      <c r="P918" s="299"/>
      <c r="Q918" s="299"/>
      <c r="R918" s="299"/>
      <c r="S918" s="29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</row>
    <row r="919" ht="15.75" customHeight="1">
      <c r="A919" s="298"/>
      <c r="B919" s="299"/>
      <c r="C919" s="299"/>
      <c r="D919" s="299"/>
      <c r="E919" s="300"/>
      <c r="F919" s="299"/>
      <c r="G919" s="299"/>
      <c r="H919" s="301"/>
      <c r="I919" s="301"/>
      <c r="J919" s="301"/>
      <c r="K919" s="301"/>
      <c r="L919" s="299"/>
      <c r="M919" s="299"/>
      <c r="N919" s="299"/>
      <c r="O919" s="299"/>
      <c r="P919" s="299"/>
      <c r="Q919" s="299"/>
      <c r="R919" s="299"/>
      <c r="S919" s="29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</row>
    <row r="920" ht="15.75" customHeight="1">
      <c r="A920" s="298"/>
      <c r="B920" s="299"/>
      <c r="C920" s="299"/>
      <c r="D920" s="299"/>
      <c r="E920" s="300"/>
      <c r="F920" s="299"/>
      <c r="G920" s="299"/>
      <c r="H920" s="301"/>
      <c r="I920" s="301"/>
      <c r="J920" s="301"/>
      <c r="K920" s="301"/>
      <c r="L920" s="299"/>
      <c r="M920" s="299"/>
      <c r="N920" s="299"/>
      <c r="O920" s="299"/>
      <c r="P920" s="299"/>
      <c r="Q920" s="299"/>
      <c r="R920" s="299"/>
      <c r="S920" s="29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</row>
    <row r="921" ht="15.75" customHeight="1">
      <c r="A921" s="298"/>
      <c r="B921" s="299"/>
      <c r="C921" s="299"/>
      <c r="D921" s="299"/>
      <c r="E921" s="300"/>
      <c r="F921" s="299"/>
      <c r="G921" s="299"/>
      <c r="H921" s="301"/>
      <c r="I921" s="301"/>
      <c r="J921" s="301"/>
      <c r="K921" s="301"/>
      <c r="L921" s="299"/>
      <c r="M921" s="299"/>
      <c r="N921" s="299"/>
      <c r="O921" s="299"/>
      <c r="P921" s="299"/>
      <c r="Q921" s="299"/>
      <c r="R921" s="299"/>
      <c r="S921" s="29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</row>
    <row r="922" ht="15.75" customHeight="1">
      <c r="A922" s="298"/>
      <c r="B922" s="299"/>
      <c r="C922" s="299"/>
      <c r="D922" s="299"/>
      <c r="E922" s="300"/>
      <c r="F922" s="299"/>
      <c r="G922" s="299"/>
      <c r="H922" s="301"/>
      <c r="I922" s="301"/>
      <c r="J922" s="301"/>
      <c r="K922" s="301"/>
      <c r="L922" s="299"/>
      <c r="M922" s="299"/>
      <c r="N922" s="299"/>
      <c r="O922" s="299"/>
      <c r="P922" s="299"/>
      <c r="Q922" s="299"/>
      <c r="R922" s="299"/>
      <c r="S922" s="29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</row>
    <row r="923" ht="15.75" customHeight="1">
      <c r="A923" s="298"/>
      <c r="B923" s="299"/>
      <c r="C923" s="299"/>
      <c r="D923" s="299"/>
      <c r="E923" s="300"/>
      <c r="F923" s="299"/>
      <c r="G923" s="299"/>
      <c r="H923" s="301"/>
      <c r="I923" s="301"/>
      <c r="J923" s="301"/>
      <c r="K923" s="301"/>
      <c r="L923" s="299"/>
      <c r="M923" s="299"/>
      <c r="N923" s="299"/>
      <c r="O923" s="299"/>
      <c r="P923" s="299"/>
      <c r="Q923" s="299"/>
      <c r="R923" s="299"/>
      <c r="S923" s="29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</row>
    <row r="924" ht="15.75" customHeight="1">
      <c r="A924" s="298"/>
      <c r="B924" s="299"/>
      <c r="C924" s="299"/>
      <c r="D924" s="299"/>
      <c r="E924" s="300"/>
      <c r="F924" s="299"/>
      <c r="G924" s="299"/>
      <c r="H924" s="301"/>
      <c r="I924" s="301"/>
      <c r="J924" s="301"/>
      <c r="K924" s="301"/>
      <c r="L924" s="299"/>
      <c r="M924" s="299"/>
      <c r="N924" s="299"/>
      <c r="O924" s="299"/>
      <c r="P924" s="299"/>
      <c r="Q924" s="299"/>
      <c r="R924" s="299"/>
      <c r="S924" s="29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</row>
    <row r="925" ht="15.75" customHeight="1">
      <c r="A925" s="298"/>
      <c r="B925" s="299"/>
      <c r="C925" s="299"/>
      <c r="D925" s="299"/>
      <c r="E925" s="300"/>
      <c r="F925" s="299"/>
      <c r="G925" s="299"/>
      <c r="H925" s="301"/>
      <c r="I925" s="301"/>
      <c r="J925" s="301"/>
      <c r="K925" s="301"/>
      <c r="L925" s="299"/>
      <c r="M925" s="299"/>
      <c r="N925" s="299"/>
      <c r="O925" s="299"/>
      <c r="P925" s="299"/>
      <c r="Q925" s="299"/>
      <c r="R925" s="299"/>
      <c r="S925" s="29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</row>
    <row r="926" ht="15.75" customHeight="1">
      <c r="A926" s="298"/>
      <c r="B926" s="299"/>
      <c r="C926" s="299"/>
      <c r="D926" s="299"/>
      <c r="E926" s="300"/>
      <c r="F926" s="299"/>
      <c r="G926" s="299"/>
      <c r="H926" s="301"/>
      <c r="I926" s="301"/>
      <c r="J926" s="301"/>
      <c r="K926" s="301"/>
      <c r="L926" s="299"/>
      <c r="M926" s="299"/>
      <c r="N926" s="299"/>
      <c r="O926" s="299"/>
      <c r="P926" s="299"/>
      <c r="Q926" s="299"/>
      <c r="R926" s="299"/>
      <c r="S926" s="29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</row>
    <row r="927" ht="15.75" customHeight="1">
      <c r="A927" s="298"/>
      <c r="B927" s="299"/>
      <c r="C927" s="299"/>
      <c r="D927" s="299"/>
      <c r="E927" s="300"/>
      <c r="F927" s="299"/>
      <c r="G927" s="299"/>
      <c r="H927" s="301"/>
      <c r="I927" s="301"/>
      <c r="J927" s="301"/>
      <c r="K927" s="301"/>
      <c r="L927" s="299"/>
      <c r="M927" s="299"/>
      <c r="N927" s="299"/>
      <c r="O927" s="299"/>
      <c r="P927" s="299"/>
      <c r="Q927" s="299"/>
      <c r="R927" s="299"/>
      <c r="S927" s="29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</row>
    <row r="928" ht="15.75" customHeight="1">
      <c r="A928" s="298"/>
      <c r="B928" s="299"/>
      <c r="C928" s="299"/>
      <c r="D928" s="299"/>
      <c r="E928" s="300"/>
      <c r="F928" s="299"/>
      <c r="G928" s="299"/>
      <c r="H928" s="301"/>
      <c r="I928" s="301"/>
      <c r="J928" s="301"/>
      <c r="K928" s="301"/>
      <c r="L928" s="299"/>
      <c r="M928" s="299"/>
      <c r="N928" s="299"/>
      <c r="O928" s="299"/>
      <c r="P928" s="299"/>
      <c r="Q928" s="299"/>
      <c r="R928" s="299"/>
      <c r="S928" s="29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</row>
    <row r="929" ht="15.75" customHeight="1">
      <c r="A929" s="298"/>
      <c r="B929" s="299"/>
      <c r="C929" s="299"/>
      <c r="D929" s="299"/>
      <c r="E929" s="300"/>
      <c r="F929" s="299"/>
      <c r="G929" s="299"/>
      <c r="H929" s="301"/>
      <c r="I929" s="301"/>
      <c r="J929" s="301"/>
      <c r="K929" s="301"/>
      <c r="L929" s="299"/>
      <c r="M929" s="299"/>
      <c r="N929" s="299"/>
      <c r="O929" s="299"/>
      <c r="P929" s="299"/>
      <c r="Q929" s="299"/>
      <c r="R929" s="299"/>
      <c r="S929" s="29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</row>
    <row r="930" ht="15.75" customHeight="1">
      <c r="A930" s="298"/>
      <c r="B930" s="299"/>
      <c r="C930" s="299"/>
      <c r="D930" s="299"/>
      <c r="E930" s="300"/>
      <c r="F930" s="299"/>
      <c r="G930" s="299"/>
      <c r="H930" s="301"/>
      <c r="I930" s="301"/>
      <c r="J930" s="301"/>
      <c r="K930" s="301"/>
      <c r="L930" s="299"/>
      <c r="M930" s="299"/>
      <c r="N930" s="299"/>
      <c r="O930" s="299"/>
      <c r="P930" s="299"/>
      <c r="Q930" s="299"/>
      <c r="R930" s="299"/>
      <c r="S930" s="29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</row>
    <row r="931" ht="15.75" customHeight="1">
      <c r="A931" s="298"/>
      <c r="B931" s="299"/>
      <c r="C931" s="299"/>
      <c r="D931" s="299"/>
      <c r="E931" s="300"/>
      <c r="F931" s="299"/>
      <c r="G931" s="299"/>
      <c r="H931" s="301"/>
      <c r="I931" s="301"/>
      <c r="J931" s="301"/>
      <c r="K931" s="301"/>
      <c r="L931" s="299"/>
      <c r="M931" s="299"/>
      <c r="N931" s="299"/>
      <c r="O931" s="299"/>
      <c r="P931" s="299"/>
      <c r="Q931" s="299"/>
      <c r="R931" s="299"/>
      <c r="S931" s="29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</row>
    <row r="932" ht="15.75" customHeight="1">
      <c r="A932" s="298"/>
      <c r="B932" s="299"/>
      <c r="C932" s="299"/>
      <c r="D932" s="299"/>
      <c r="E932" s="300"/>
      <c r="F932" s="299"/>
      <c r="G932" s="299"/>
      <c r="H932" s="301"/>
      <c r="I932" s="301"/>
      <c r="J932" s="301"/>
      <c r="K932" s="301"/>
      <c r="L932" s="299"/>
      <c r="M932" s="299"/>
      <c r="N932" s="299"/>
      <c r="O932" s="299"/>
      <c r="P932" s="299"/>
      <c r="Q932" s="299"/>
      <c r="R932" s="299"/>
      <c r="S932" s="29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</row>
    <row r="933" ht="15.75" customHeight="1">
      <c r="A933" s="298"/>
      <c r="B933" s="299"/>
      <c r="C933" s="299"/>
      <c r="D933" s="299"/>
      <c r="E933" s="300"/>
      <c r="F933" s="299"/>
      <c r="G933" s="299"/>
      <c r="H933" s="301"/>
      <c r="I933" s="301"/>
      <c r="J933" s="301"/>
      <c r="K933" s="301"/>
      <c r="L933" s="299"/>
      <c r="M933" s="299"/>
      <c r="N933" s="299"/>
      <c r="O933" s="299"/>
      <c r="P933" s="299"/>
      <c r="Q933" s="299"/>
      <c r="R933" s="299"/>
      <c r="S933" s="29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</row>
    <row r="934" ht="15.75" customHeight="1">
      <c r="A934" s="298"/>
      <c r="B934" s="299"/>
      <c r="C934" s="299"/>
      <c r="D934" s="299"/>
      <c r="E934" s="300"/>
      <c r="F934" s="299"/>
      <c r="G934" s="299"/>
      <c r="H934" s="301"/>
      <c r="I934" s="301"/>
      <c r="J934" s="301"/>
      <c r="K934" s="301"/>
      <c r="L934" s="299"/>
      <c r="M934" s="299"/>
      <c r="N934" s="299"/>
      <c r="O934" s="299"/>
      <c r="P934" s="299"/>
      <c r="Q934" s="299"/>
      <c r="R934" s="299"/>
      <c r="S934" s="29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</row>
    <row r="935" ht="15.75" customHeight="1">
      <c r="A935" s="298"/>
      <c r="B935" s="299"/>
      <c r="C935" s="299"/>
      <c r="D935" s="299"/>
      <c r="E935" s="300"/>
      <c r="F935" s="299"/>
      <c r="G935" s="299"/>
      <c r="H935" s="301"/>
      <c r="I935" s="301"/>
      <c r="J935" s="301"/>
      <c r="K935" s="301"/>
      <c r="L935" s="299"/>
      <c r="M935" s="299"/>
      <c r="N935" s="299"/>
      <c r="O935" s="299"/>
      <c r="P935" s="299"/>
      <c r="Q935" s="299"/>
      <c r="R935" s="299"/>
      <c r="S935" s="29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</row>
    <row r="936" ht="15.75" customHeight="1">
      <c r="A936" s="298"/>
      <c r="B936" s="299"/>
      <c r="C936" s="299"/>
      <c r="D936" s="299"/>
      <c r="E936" s="300"/>
      <c r="F936" s="299"/>
      <c r="G936" s="299"/>
      <c r="H936" s="301"/>
      <c r="I936" s="301"/>
      <c r="J936" s="301"/>
      <c r="K936" s="301"/>
      <c r="L936" s="299"/>
      <c r="M936" s="299"/>
      <c r="N936" s="299"/>
      <c r="O936" s="299"/>
      <c r="P936" s="299"/>
      <c r="Q936" s="299"/>
      <c r="R936" s="299"/>
      <c r="S936" s="29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</row>
    <row r="937" ht="15.75" customHeight="1">
      <c r="A937" s="298"/>
      <c r="B937" s="299"/>
      <c r="C937" s="299"/>
      <c r="D937" s="299"/>
      <c r="E937" s="300"/>
      <c r="F937" s="299"/>
      <c r="G937" s="299"/>
      <c r="H937" s="301"/>
      <c r="I937" s="301"/>
      <c r="J937" s="301"/>
      <c r="K937" s="301"/>
      <c r="L937" s="299"/>
      <c r="M937" s="299"/>
      <c r="N937" s="299"/>
      <c r="O937" s="299"/>
      <c r="P937" s="299"/>
      <c r="Q937" s="299"/>
      <c r="R937" s="299"/>
      <c r="S937" s="29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</row>
    <row r="938" ht="15.75" customHeight="1">
      <c r="A938" s="298"/>
      <c r="B938" s="299"/>
      <c r="C938" s="299"/>
      <c r="D938" s="299"/>
      <c r="E938" s="300"/>
      <c r="F938" s="299"/>
      <c r="G938" s="299"/>
      <c r="H938" s="301"/>
      <c r="I938" s="301"/>
      <c r="J938" s="301"/>
      <c r="K938" s="301"/>
      <c r="L938" s="299"/>
      <c r="M938" s="299"/>
      <c r="N938" s="299"/>
      <c r="O938" s="299"/>
      <c r="P938" s="299"/>
      <c r="Q938" s="299"/>
      <c r="R938" s="299"/>
      <c r="S938" s="29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</row>
    <row r="939" ht="15.75" customHeight="1">
      <c r="A939" s="298"/>
      <c r="B939" s="299"/>
      <c r="C939" s="299"/>
      <c r="D939" s="299"/>
      <c r="E939" s="300"/>
      <c r="F939" s="299"/>
      <c r="G939" s="299"/>
      <c r="H939" s="301"/>
      <c r="I939" s="301"/>
      <c r="J939" s="301"/>
      <c r="K939" s="301"/>
      <c r="L939" s="299"/>
      <c r="M939" s="299"/>
      <c r="N939" s="299"/>
      <c r="O939" s="299"/>
      <c r="P939" s="299"/>
      <c r="Q939" s="299"/>
      <c r="R939" s="299"/>
      <c r="S939" s="29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</row>
    <row r="940" ht="15.75" customHeight="1">
      <c r="A940" s="298"/>
      <c r="B940" s="299"/>
      <c r="C940" s="299"/>
      <c r="D940" s="299"/>
      <c r="E940" s="300"/>
      <c r="F940" s="299"/>
      <c r="G940" s="299"/>
      <c r="H940" s="301"/>
      <c r="I940" s="301"/>
      <c r="J940" s="301"/>
      <c r="K940" s="301"/>
      <c r="L940" s="299"/>
      <c r="M940" s="299"/>
      <c r="N940" s="299"/>
      <c r="O940" s="299"/>
      <c r="P940" s="299"/>
      <c r="Q940" s="299"/>
      <c r="R940" s="299"/>
      <c r="S940" s="29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</row>
    <row r="941" ht="15.75" customHeight="1">
      <c r="A941" s="298"/>
      <c r="B941" s="299"/>
      <c r="C941" s="299"/>
      <c r="D941" s="299"/>
      <c r="E941" s="300"/>
      <c r="F941" s="299"/>
      <c r="G941" s="299"/>
      <c r="H941" s="301"/>
      <c r="I941" s="301"/>
      <c r="J941" s="301"/>
      <c r="K941" s="301"/>
      <c r="L941" s="299"/>
      <c r="M941" s="299"/>
      <c r="N941" s="299"/>
      <c r="O941" s="299"/>
      <c r="P941" s="299"/>
      <c r="Q941" s="299"/>
      <c r="R941" s="299"/>
      <c r="S941" s="29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</row>
    <row r="942" ht="15.75" customHeight="1">
      <c r="A942" s="298"/>
      <c r="B942" s="299"/>
      <c r="C942" s="299"/>
      <c r="D942" s="299"/>
      <c r="E942" s="300"/>
      <c r="F942" s="299"/>
      <c r="G942" s="299"/>
      <c r="H942" s="301"/>
      <c r="I942" s="301"/>
      <c r="J942" s="301"/>
      <c r="K942" s="301"/>
      <c r="L942" s="299"/>
      <c r="M942" s="299"/>
      <c r="N942" s="299"/>
      <c r="O942" s="299"/>
      <c r="P942" s="299"/>
      <c r="Q942" s="299"/>
      <c r="R942" s="299"/>
      <c r="S942" s="29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</row>
    <row r="943" ht="15.75" customHeight="1">
      <c r="A943" s="298"/>
      <c r="B943" s="299"/>
      <c r="C943" s="299"/>
      <c r="D943" s="299"/>
      <c r="E943" s="300"/>
      <c r="F943" s="299"/>
      <c r="G943" s="299"/>
      <c r="H943" s="301"/>
      <c r="I943" s="301"/>
      <c r="J943" s="301"/>
      <c r="K943" s="301"/>
      <c r="L943" s="299"/>
      <c r="M943" s="299"/>
      <c r="N943" s="299"/>
      <c r="O943" s="299"/>
      <c r="P943" s="299"/>
      <c r="Q943" s="299"/>
      <c r="R943" s="299"/>
      <c r="S943" s="29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</row>
    <row r="944" ht="15.75" customHeight="1">
      <c r="A944" s="298"/>
      <c r="B944" s="299"/>
      <c r="C944" s="299"/>
      <c r="D944" s="299"/>
      <c r="E944" s="300"/>
      <c r="F944" s="299"/>
      <c r="G944" s="299"/>
      <c r="H944" s="301"/>
      <c r="I944" s="301"/>
      <c r="J944" s="301"/>
      <c r="K944" s="301"/>
      <c r="L944" s="299"/>
      <c r="M944" s="299"/>
      <c r="N944" s="299"/>
      <c r="O944" s="299"/>
      <c r="P944" s="299"/>
      <c r="Q944" s="299"/>
      <c r="R944" s="299"/>
      <c r="S944" s="29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</row>
    <row r="945" ht="15.75" customHeight="1">
      <c r="A945" s="298"/>
      <c r="B945" s="299"/>
      <c r="C945" s="299"/>
      <c r="D945" s="299"/>
      <c r="E945" s="300"/>
      <c r="F945" s="299"/>
      <c r="G945" s="299"/>
      <c r="H945" s="301"/>
      <c r="I945" s="301"/>
      <c r="J945" s="301"/>
      <c r="K945" s="301"/>
      <c r="L945" s="299"/>
      <c r="M945" s="299"/>
      <c r="N945" s="299"/>
      <c r="O945" s="299"/>
      <c r="P945" s="299"/>
      <c r="Q945" s="299"/>
      <c r="R945" s="299"/>
      <c r="S945" s="29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</row>
    <row r="946" ht="15.75" customHeight="1">
      <c r="A946" s="298"/>
      <c r="B946" s="299"/>
      <c r="C946" s="299"/>
      <c r="D946" s="299"/>
      <c r="E946" s="300"/>
      <c r="F946" s="299"/>
      <c r="G946" s="299"/>
      <c r="H946" s="301"/>
      <c r="I946" s="301"/>
      <c r="J946" s="301"/>
      <c r="K946" s="301"/>
      <c r="L946" s="299"/>
      <c r="M946" s="299"/>
      <c r="N946" s="299"/>
      <c r="O946" s="299"/>
      <c r="P946" s="299"/>
      <c r="Q946" s="299"/>
      <c r="R946" s="299"/>
      <c r="S946" s="29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</row>
    <row r="947" ht="15.75" customHeight="1">
      <c r="A947" s="298"/>
      <c r="B947" s="299"/>
      <c r="C947" s="299"/>
      <c r="D947" s="299"/>
      <c r="E947" s="300"/>
      <c r="F947" s="299"/>
      <c r="G947" s="299"/>
      <c r="H947" s="301"/>
      <c r="I947" s="301"/>
      <c r="J947" s="301"/>
      <c r="K947" s="301"/>
      <c r="L947" s="299"/>
      <c r="M947" s="299"/>
      <c r="N947" s="299"/>
      <c r="O947" s="299"/>
      <c r="P947" s="299"/>
      <c r="Q947" s="299"/>
      <c r="R947" s="299"/>
      <c r="S947" s="29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</row>
    <row r="948" ht="15.75" customHeight="1">
      <c r="A948" s="298"/>
      <c r="B948" s="299"/>
      <c r="C948" s="299"/>
      <c r="D948" s="299"/>
      <c r="E948" s="300"/>
      <c r="F948" s="299"/>
      <c r="G948" s="299"/>
      <c r="H948" s="301"/>
      <c r="I948" s="301"/>
      <c r="J948" s="301"/>
      <c r="K948" s="301"/>
      <c r="L948" s="299"/>
      <c r="M948" s="299"/>
      <c r="N948" s="299"/>
      <c r="O948" s="299"/>
      <c r="P948" s="299"/>
      <c r="Q948" s="299"/>
      <c r="R948" s="299"/>
      <c r="S948" s="29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</row>
    <row r="949" ht="15.75" customHeight="1">
      <c r="A949" s="298"/>
      <c r="B949" s="299"/>
      <c r="C949" s="299"/>
      <c r="D949" s="299"/>
      <c r="E949" s="300"/>
      <c r="F949" s="299"/>
      <c r="G949" s="299"/>
      <c r="H949" s="301"/>
      <c r="I949" s="301"/>
      <c r="J949" s="301"/>
      <c r="K949" s="301"/>
      <c r="L949" s="299"/>
      <c r="M949" s="299"/>
      <c r="N949" s="299"/>
      <c r="O949" s="299"/>
      <c r="P949" s="299"/>
      <c r="Q949" s="299"/>
      <c r="R949" s="299"/>
      <c r="S949" s="29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</row>
    <row r="950" ht="15.75" customHeight="1">
      <c r="A950" s="298"/>
      <c r="B950" s="299"/>
      <c r="C950" s="299"/>
      <c r="D950" s="299"/>
      <c r="E950" s="300"/>
      <c r="F950" s="299"/>
      <c r="G950" s="299"/>
      <c r="H950" s="301"/>
      <c r="I950" s="301"/>
      <c r="J950" s="301"/>
      <c r="K950" s="301"/>
      <c r="L950" s="299"/>
      <c r="M950" s="299"/>
      <c r="N950" s="299"/>
      <c r="O950" s="299"/>
      <c r="P950" s="299"/>
      <c r="Q950" s="299"/>
      <c r="R950" s="299"/>
      <c r="S950" s="29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</row>
    <row r="951" ht="15.75" customHeight="1">
      <c r="A951" s="298"/>
      <c r="B951" s="299"/>
      <c r="C951" s="299"/>
      <c r="D951" s="299"/>
      <c r="E951" s="300"/>
      <c r="F951" s="299"/>
      <c r="G951" s="299"/>
      <c r="H951" s="301"/>
      <c r="I951" s="301"/>
      <c r="J951" s="301"/>
      <c r="K951" s="301"/>
      <c r="L951" s="299"/>
      <c r="M951" s="299"/>
      <c r="N951" s="299"/>
      <c r="O951" s="299"/>
      <c r="P951" s="299"/>
      <c r="Q951" s="299"/>
      <c r="R951" s="299"/>
      <c r="S951" s="29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</row>
    <row r="952" ht="15.75" customHeight="1">
      <c r="A952" s="298"/>
      <c r="B952" s="299"/>
      <c r="C952" s="299"/>
      <c r="D952" s="299"/>
      <c r="E952" s="300"/>
      <c r="F952" s="299"/>
      <c r="G952" s="299"/>
      <c r="H952" s="301"/>
      <c r="I952" s="301"/>
      <c r="J952" s="301"/>
      <c r="K952" s="301"/>
      <c r="L952" s="299"/>
      <c r="M952" s="299"/>
      <c r="N952" s="299"/>
      <c r="O952" s="299"/>
      <c r="P952" s="299"/>
      <c r="Q952" s="299"/>
      <c r="R952" s="299"/>
      <c r="S952" s="29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</row>
    <row r="953" ht="15.75" customHeight="1">
      <c r="A953" s="298"/>
      <c r="B953" s="299"/>
      <c r="C953" s="299"/>
      <c r="D953" s="299"/>
      <c r="E953" s="300"/>
      <c r="F953" s="299"/>
      <c r="G953" s="299"/>
      <c r="H953" s="301"/>
      <c r="I953" s="301"/>
      <c r="J953" s="301"/>
      <c r="K953" s="301"/>
      <c r="L953" s="299"/>
      <c r="M953" s="299"/>
      <c r="N953" s="299"/>
      <c r="O953" s="299"/>
      <c r="P953" s="299"/>
      <c r="Q953" s="299"/>
      <c r="R953" s="299"/>
      <c r="S953" s="29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</row>
    <row r="954" ht="15.75" customHeight="1">
      <c r="A954" s="298"/>
      <c r="B954" s="299"/>
      <c r="C954" s="299"/>
      <c r="D954" s="299"/>
      <c r="E954" s="300"/>
      <c r="F954" s="299"/>
      <c r="G954" s="299"/>
      <c r="H954" s="301"/>
      <c r="I954" s="301"/>
      <c r="J954" s="301"/>
      <c r="K954" s="301"/>
      <c r="L954" s="299"/>
      <c r="M954" s="299"/>
      <c r="N954" s="299"/>
      <c r="O954" s="299"/>
      <c r="P954" s="299"/>
      <c r="Q954" s="299"/>
      <c r="R954" s="299"/>
      <c r="S954" s="29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</row>
    <row r="955" ht="15.75" customHeight="1">
      <c r="A955" s="298"/>
      <c r="B955" s="299"/>
      <c r="C955" s="299"/>
      <c r="D955" s="299"/>
      <c r="E955" s="300"/>
      <c r="F955" s="299"/>
      <c r="G955" s="299"/>
      <c r="H955" s="301"/>
      <c r="I955" s="301"/>
      <c r="J955" s="301"/>
      <c r="K955" s="301"/>
      <c r="L955" s="299"/>
      <c r="M955" s="299"/>
      <c r="N955" s="299"/>
      <c r="O955" s="299"/>
      <c r="P955" s="299"/>
      <c r="Q955" s="299"/>
      <c r="R955" s="299"/>
      <c r="S955" s="29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</row>
    <row r="956" ht="15.75" customHeight="1">
      <c r="A956" s="298"/>
      <c r="B956" s="299"/>
      <c r="C956" s="299"/>
      <c r="D956" s="299"/>
      <c r="E956" s="300"/>
      <c r="F956" s="299"/>
      <c r="G956" s="299"/>
      <c r="H956" s="301"/>
      <c r="I956" s="301"/>
      <c r="J956" s="301"/>
      <c r="K956" s="301"/>
      <c r="L956" s="299"/>
      <c r="M956" s="299"/>
      <c r="N956" s="299"/>
      <c r="O956" s="299"/>
      <c r="P956" s="299"/>
      <c r="Q956" s="299"/>
      <c r="R956" s="299"/>
      <c r="S956" s="29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</row>
    <row r="957" ht="15.75" customHeight="1">
      <c r="A957" s="298"/>
      <c r="B957" s="299"/>
      <c r="C957" s="299"/>
      <c r="D957" s="299"/>
      <c r="E957" s="300"/>
      <c r="F957" s="299"/>
      <c r="G957" s="299"/>
      <c r="H957" s="301"/>
      <c r="I957" s="301"/>
      <c r="J957" s="301"/>
      <c r="K957" s="301"/>
      <c r="L957" s="299"/>
      <c r="M957" s="299"/>
      <c r="N957" s="299"/>
      <c r="O957" s="299"/>
      <c r="P957" s="299"/>
      <c r="Q957" s="299"/>
      <c r="R957" s="299"/>
      <c r="S957" s="29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</row>
    <row r="958" ht="15.75" customHeight="1">
      <c r="A958" s="298"/>
      <c r="B958" s="299"/>
      <c r="C958" s="299"/>
      <c r="D958" s="299"/>
      <c r="E958" s="300"/>
      <c r="F958" s="299"/>
      <c r="G958" s="299"/>
      <c r="H958" s="301"/>
      <c r="I958" s="301"/>
      <c r="J958" s="301"/>
      <c r="K958" s="301"/>
      <c r="L958" s="299"/>
      <c r="M958" s="299"/>
      <c r="N958" s="299"/>
      <c r="O958" s="299"/>
      <c r="P958" s="299"/>
      <c r="Q958" s="299"/>
      <c r="R958" s="299"/>
      <c r="S958" s="29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</row>
    <row r="959" ht="15.75" customHeight="1">
      <c r="A959" s="298"/>
      <c r="B959" s="299"/>
      <c r="C959" s="299"/>
      <c r="D959" s="299"/>
      <c r="E959" s="300"/>
      <c r="F959" s="299"/>
      <c r="G959" s="299"/>
      <c r="H959" s="301"/>
      <c r="I959" s="301"/>
      <c r="J959" s="301"/>
      <c r="K959" s="301"/>
      <c r="L959" s="299"/>
      <c r="M959" s="299"/>
      <c r="N959" s="299"/>
      <c r="O959" s="299"/>
      <c r="P959" s="299"/>
      <c r="Q959" s="299"/>
      <c r="R959" s="299"/>
      <c r="S959" s="29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</row>
    <row r="960" ht="15.75" customHeight="1">
      <c r="A960" s="298"/>
      <c r="B960" s="299"/>
      <c r="C960" s="299"/>
      <c r="D960" s="299"/>
      <c r="E960" s="300"/>
      <c r="F960" s="299"/>
      <c r="G960" s="299"/>
      <c r="H960" s="301"/>
      <c r="I960" s="301"/>
      <c r="J960" s="301"/>
      <c r="K960" s="301"/>
      <c r="L960" s="299"/>
      <c r="M960" s="299"/>
      <c r="N960" s="299"/>
      <c r="O960" s="299"/>
      <c r="P960" s="299"/>
      <c r="Q960" s="299"/>
      <c r="R960" s="299"/>
      <c r="S960" s="29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</row>
    <row r="961" ht="15.75" customHeight="1">
      <c r="A961" s="298"/>
      <c r="B961" s="299"/>
      <c r="C961" s="299"/>
      <c r="D961" s="299"/>
      <c r="E961" s="300"/>
      <c r="F961" s="299"/>
      <c r="G961" s="299"/>
      <c r="H961" s="301"/>
      <c r="I961" s="301"/>
      <c r="J961" s="301"/>
      <c r="K961" s="301"/>
      <c r="L961" s="299"/>
      <c r="M961" s="299"/>
      <c r="N961" s="299"/>
      <c r="O961" s="299"/>
      <c r="P961" s="299"/>
      <c r="Q961" s="299"/>
      <c r="R961" s="299"/>
      <c r="S961" s="29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</row>
    <row r="962" ht="15.75" customHeight="1">
      <c r="A962" s="298"/>
      <c r="B962" s="299"/>
      <c r="C962" s="299"/>
      <c r="D962" s="299"/>
      <c r="E962" s="300"/>
      <c r="F962" s="299"/>
      <c r="G962" s="299"/>
      <c r="H962" s="301"/>
      <c r="I962" s="301"/>
      <c r="J962" s="301"/>
      <c r="K962" s="301"/>
      <c r="L962" s="299"/>
      <c r="M962" s="299"/>
      <c r="N962" s="299"/>
      <c r="O962" s="299"/>
      <c r="P962" s="299"/>
      <c r="Q962" s="299"/>
      <c r="R962" s="299"/>
      <c r="S962" s="29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</row>
    <row r="963" ht="15.75" customHeight="1">
      <c r="A963" s="298"/>
      <c r="B963" s="299"/>
      <c r="C963" s="299"/>
      <c r="D963" s="299"/>
      <c r="E963" s="300"/>
      <c r="F963" s="299"/>
      <c r="G963" s="299"/>
      <c r="H963" s="301"/>
      <c r="I963" s="301"/>
      <c r="J963" s="301"/>
      <c r="K963" s="301"/>
      <c r="L963" s="299"/>
      <c r="M963" s="299"/>
      <c r="N963" s="299"/>
      <c r="O963" s="299"/>
      <c r="P963" s="299"/>
      <c r="Q963" s="299"/>
      <c r="R963" s="299"/>
      <c r="S963" s="29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</row>
    <row r="964" ht="15.75" customHeight="1">
      <c r="A964" s="298"/>
      <c r="B964" s="299"/>
      <c r="C964" s="299"/>
      <c r="D964" s="299"/>
      <c r="E964" s="300"/>
      <c r="F964" s="299"/>
      <c r="G964" s="299"/>
      <c r="H964" s="301"/>
      <c r="I964" s="301"/>
      <c r="J964" s="301"/>
      <c r="K964" s="301"/>
      <c r="L964" s="299"/>
      <c r="M964" s="299"/>
      <c r="N964" s="299"/>
      <c r="O964" s="299"/>
      <c r="P964" s="299"/>
      <c r="Q964" s="299"/>
      <c r="R964" s="299"/>
      <c r="S964" s="29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</row>
    <row r="965" ht="15.75" customHeight="1">
      <c r="A965" s="298"/>
      <c r="B965" s="299"/>
      <c r="C965" s="299"/>
      <c r="D965" s="299"/>
      <c r="E965" s="300"/>
      <c r="F965" s="299"/>
      <c r="G965" s="299"/>
      <c r="H965" s="301"/>
      <c r="I965" s="301"/>
      <c r="J965" s="301"/>
      <c r="K965" s="301"/>
      <c r="L965" s="299"/>
      <c r="M965" s="299"/>
      <c r="N965" s="299"/>
      <c r="O965" s="299"/>
      <c r="P965" s="299"/>
      <c r="Q965" s="299"/>
      <c r="R965" s="299"/>
      <c r="S965" s="29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</row>
    <row r="966" ht="15.75" customHeight="1">
      <c r="A966" s="298"/>
      <c r="B966" s="299"/>
      <c r="C966" s="299"/>
      <c r="D966" s="299"/>
      <c r="E966" s="300"/>
      <c r="F966" s="299"/>
      <c r="G966" s="299"/>
      <c r="H966" s="301"/>
      <c r="I966" s="301"/>
      <c r="J966" s="301"/>
      <c r="K966" s="301"/>
      <c r="L966" s="299"/>
      <c r="M966" s="299"/>
      <c r="N966" s="299"/>
      <c r="O966" s="299"/>
      <c r="P966" s="299"/>
      <c r="Q966" s="299"/>
      <c r="R966" s="299"/>
      <c r="S966" s="29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</row>
    <row r="967" ht="15.75" customHeight="1">
      <c r="A967" s="298"/>
      <c r="B967" s="299"/>
      <c r="C967" s="299"/>
      <c r="D967" s="299"/>
      <c r="E967" s="300"/>
      <c r="F967" s="299"/>
      <c r="G967" s="299"/>
      <c r="H967" s="301"/>
      <c r="I967" s="301"/>
      <c r="J967" s="301"/>
      <c r="K967" s="301"/>
      <c r="L967" s="299"/>
      <c r="M967" s="299"/>
      <c r="N967" s="299"/>
      <c r="O967" s="299"/>
      <c r="P967" s="299"/>
      <c r="Q967" s="299"/>
      <c r="R967" s="299"/>
      <c r="S967" s="29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</row>
    <row r="968" ht="15.75" customHeight="1">
      <c r="A968" s="298"/>
      <c r="B968" s="299"/>
      <c r="C968" s="299"/>
      <c r="D968" s="299"/>
      <c r="E968" s="300"/>
      <c r="F968" s="299"/>
      <c r="G968" s="299"/>
      <c r="H968" s="301"/>
      <c r="I968" s="301"/>
      <c r="J968" s="301"/>
      <c r="K968" s="301"/>
      <c r="L968" s="299"/>
      <c r="M968" s="299"/>
      <c r="N968" s="299"/>
      <c r="O968" s="299"/>
      <c r="P968" s="299"/>
      <c r="Q968" s="299"/>
      <c r="R968" s="299"/>
      <c r="S968" s="29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</row>
    <row r="969" ht="15.75" customHeight="1">
      <c r="A969" s="298"/>
      <c r="B969" s="299"/>
      <c r="C969" s="299"/>
      <c r="D969" s="299"/>
      <c r="E969" s="300"/>
      <c r="F969" s="299"/>
      <c r="G969" s="299"/>
      <c r="H969" s="301"/>
      <c r="I969" s="301"/>
      <c r="J969" s="301"/>
      <c r="K969" s="301"/>
      <c r="L969" s="299"/>
      <c r="M969" s="299"/>
      <c r="N969" s="299"/>
      <c r="O969" s="299"/>
      <c r="P969" s="299"/>
      <c r="Q969" s="299"/>
      <c r="R969" s="299"/>
      <c r="S969" s="29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</row>
    <row r="970" ht="15.75" customHeight="1">
      <c r="A970" s="298"/>
      <c r="B970" s="299"/>
      <c r="C970" s="299"/>
      <c r="D970" s="299"/>
      <c r="E970" s="300"/>
      <c r="F970" s="299"/>
      <c r="G970" s="299"/>
      <c r="H970" s="301"/>
      <c r="I970" s="301"/>
      <c r="J970" s="301"/>
      <c r="K970" s="301"/>
      <c r="L970" s="299"/>
      <c r="M970" s="299"/>
      <c r="N970" s="299"/>
      <c r="O970" s="299"/>
      <c r="P970" s="299"/>
      <c r="Q970" s="299"/>
      <c r="R970" s="299"/>
      <c r="S970" s="29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</row>
    <row r="971" ht="15.75" customHeight="1">
      <c r="A971" s="298"/>
      <c r="B971" s="299"/>
      <c r="C971" s="299"/>
      <c r="D971" s="299"/>
      <c r="E971" s="300"/>
      <c r="F971" s="299"/>
      <c r="G971" s="299"/>
      <c r="H971" s="301"/>
      <c r="I971" s="301"/>
      <c r="J971" s="301"/>
      <c r="K971" s="301"/>
      <c r="L971" s="299"/>
      <c r="M971" s="299"/>
      <c r="N971" s="299"/>
      <c r="O971" s="299"/>
      <c r="P971" s="299"/>
      <c r="Q971" s="299"/>
      <c r="R971" s="299"/>
      <c r="S971" s="29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</row>
    <row r="972" ht="15.75" customHeight="1">
      <c r="A972" s="298"/>
      <c r="B972" s="299"/>
      <c r="C972" s="299"/>
      <c r="D972" s="299"/>
      <c r="E972" s="300"/>
      <c r="F972" s="299"/>
      <c r="G972" s="299"/>
      <c r="H972" s="301"/>
      <c r="I972" s="301"/>
      <c r="J972" s="301"/>
      <c r="K972" s="301"/>
      <c r="L972" s="299"/>
      <c r="M972" s="299"/>
      <c r="N972" s="299"/>
      <c r="O972" s="299"/>
      <c r="P972" s="299"/>
      <c r="Q972" s="299"/>
      <c r="R972" s="299"/>
      <c r="S972" s="29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</row>
    <row r="973" ht="15.75" customHeight="1">
      <c r="A973" s="298"/>
      <c r="B973" s="299"/>
      <c r="C973" s="299"/>
      <c r="D973" s="299"/>
      <c r="E973" s="300"/>
      <c r="F973" s="299"/>
      <c r="G973" s="299"/>
      <c r="H973" s="301"/>
      <c r="I973" s="301"/>
      <c r="J973" s="301"/>
      <c r="K973" s="301"/>
      <c r="L973" s="299"/>
      <c r="M973" s="299"/>
      <c r="N973" s="299"/>
      <c r="O973" s="299"/>
      <c r="P973" s="299"/>
      <c r="Q973" s="299"/>
      <c r="R973" s="299"/>
      <c r="S973" s="29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</row>
    <row r="974" ht="15.75" customHeight="1">
      <c r="A974" s="298"/>
      <c r="B974" s="299"/>
      <c r="C974" s="299"/>
      <c r="D974" s="299"/>
      <c r="E974" s="300"/>
      <c r="F974" s="299"/>
      <c r="G974" s="299"/>
      <c r="H974" s="301"/>
      <c r="I974" s="301"/>
      <c r="J974" s="301"/>
      <c r="K974" s="301"/>
      <c r="L974" s="299"/>
      <c r="M974" s="299"/>
      <c r="N974" s="299"/>
      <c r="O974" s="299"/>
      <c r="P974" s="299"/>
      <c r="Q974" s="299"/>
      <c r="R974" s="299"/>
      <c r="S974" s="29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</row>
    <row r="975" ht="15.75" customHeight="1">
      <c r="A975" s="298"/>
      <c r="B975" s="299"/>
      <c r="C975" s="299"/>
      <c r="D975" s="299"/>
      <c r="E975" s="300"/>
      <c r="F975" s="299"/>
      <c r="G975" s="299"/>
      <c r="H975" s="301"/>
      <c r="I975" s="301"/>
      <c r="J975" s="301"/>
      <c r="K975" s="301"/>
      <c r="L975" s="299"/>
      <c r="M975" s="299"/>
      <c r="N975" s="299"/>
      <c r="O975" s="299"/>
      <c r="P975" s="299"/>
      <c r="Q975" s="299"/>
      <c r="R975" s="299"/>
      <c r="S975" s="29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</row>
    <row r="976" ht="15.75" customHeight="1">
      <c r="A976" s="298"/>
      <c r="B976" s="299"/>
      <c r="C976" s="299"/>
      <c r="D976" s="299"/>
      <c r="E976" s="300"/>
      <c r="F976" s="299"/>
      <c r="G976" s="299"/>
      <c r="H976" s="301"/>
      <c r="I976" s="301"/>
      <c r="J976" s="301"/>
      <c r="K976" s="301"/>
      <c r="L976" s="299"/>
      <c r="M976" s="299"/>
      <c r="N976" s="299"/>
      <c r="O976" s="299"/>
      <c r="P976" s="299"/>
      <c r="Q976" s="299"/>
      <c r="R976" s="299"/>
      <c r="S976" s="29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</row>
    <row r="977" ht="15.75" customHeight="1">
      <c r="A977" s="298"/>
      <c r="B977" s="299"/>
      <c r="C977" s="299"/>
      <c r="D977" s="299"/>
      <c r="E977" s="300"/>
      <c r="F977" s="299"/>
      <c r="G977" s="299"/>
      <c r="H977" s="301"/>
      <c r="I977" s="301"/>
      <c r="J977" s="301"/>
      <c r="K977" s="301"/>
      <c r="L977" s="299"/>
      <c r="M977" s="299"/>
      <c r="N977" s="299"/>
      <c r="O977" s="299"/>
      <c r="P977" s="299"/>
      <c r="Q977" s="299"/>
      <c r="R977" s="299"/>
      <c r="S977" s="29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</row>
    <row r="978" ht="15.75" customHeight="1">
      <c r="A978" s="298"/>
      <c r="B978" s="299"/>
      <c r="C978" s="299"/>
      <c r="D978" s="299"/>
      <c r="E978" s="300"/>
      <c r="F978" s="299"/>
      <c r="G978" s="299"/>
      <c r="H978" s="301"/>
      <c r="I978" s="301"/>
      <c r="J978" s="301"/>
      <c r="K978" s="301"/>
      <c r="L978" s="299"/>
      <c r="M978" s="299"/>
      <c r="N978" s="299"/>
      <c r="O978" s="299"/>
      <c r="P978" s="299"/>
      <c r="Q978" s="299"/>
      <c r="R978" s="299"/>
      <c r="S978" s="29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</row>
    <row r="979" ht="15.75" customHeight="1">
      <c r="A979" s="298"/>
      <c r="B979" s="299"/>
      <c r="C979" s="299"/>
      <c r="D979" s="299"/>
      <c r="E979" s="300"/>
      <c r="F979" s="299"/>
      <c r="G979" s="299"/>
      <c r="H979" s="301"/>
      <c r="I979" s="301"/>
      <c r="J979" s="301"/>
      <c r="K979" s="301"/>
      <c r="L979" s="299"/>
      <c r="M979" s="299"/>
      <c r="N979" s="299"/>
      <c r="O979" s="299"/>
      <c r="P979" s="299"/>
      <c r="Q979" s="299"/>
      <c r="R979" s="299"/>
      <c r="S979" s="29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</row>
    <row r="980" ht="15.75" customHeight="1">
      <c r="A980" s="298"/>
      <c r="B980" s="299"/>
      <c r="C980" s="299"/>
      <c r="D980" s="299"/>
      <c r="E980" s="300"/>
      <c r="F980" s="299"/>
      <c r="G980" s="299"/>
      <c r="H980" s="301"/>
      <c r="I980" s="301"/>
      <c r="J980" s="301"/>
      <c r="K980" s="301"/>
      <c r="L980" s="299"/>
      <c r="M980" s="299"/>
      <c r="N980" s="299"/>
      <c r="O980" s="299"/>
      <c r="P980" s="299"/>
      <c r="Q980" s="299"/>
      <c r="R980" s="299"/>
      <c r="S980" s="29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</row>
    <row r="981" ht="15.75" customHeight="1">
      <c r="A981" s="298"/>
      <c r="B981" s="299"/>
      <c r="C981" s="299"/>
      <c r="D981" s="299"/>
      <c r="E981" s="300"/>
      <c r="F981" s="299"/>
      <c r="G981" s="299"/>
      <c r="H981" s="301"/>
      <c r="I981" s="301"/>
      <c r="J981" s="301"/>
      <c r="K981" s="301"/>
      <c r="L981" s="299"/>
      <c r="M981" s="299"/>
      <c r="N981" s="299"/>
      <c r="O981" s="299"/>
      <c r="P981" s="299"/>
      <c r="Q981" s="299"/>
      <c r="R981" s="299"/>
      <c r="S981" s="29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</row>
    <row r="982" ht="15.75" customHeight="1">
      <c r="A982" s="298"/>
      <c r="B982" s="299"/>
      <c r="C982" s="299"/>
      <c r="D982" s="299"/>
      <c r="E982" s="300"/>
      <c r="F982" s="299"/>
      <c r="G982" s="299"/>
      <c r="H982" s="301"/>
      <c r="I982" s="301"/>
      <c r="J982" s="301"/>
      <c r="K982" s="301"/>
      <c r="L982" s="299"/>
      <c r="M982" s="299"/>
      <c r="N982" s="299"/>
      <c r="O982" s="299"/>
      <c r="P982" s="299"/>
      <c r="Q982" s="299"/>
      <c r="R982" s="299"/>
      <c r="S982" s="29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</row>
    <row r="983" ht="15.75" customHeight="1">
      <c r="A983" s="298"/>
      <c r="B983" s="299"/>
      <c r="C983" s="299"/>
      <c r="D983" s="299"/>
      <c r="E983" s="300"/>
      <c r="F983" s="299"/>
      <c r="G983" s="299"/>
      <c r="H983" s="301"/>
      <c r="I983" s="301"/>
      <c r="J983" s="301"/>
      <c r="K983" s="301"/>
      <c r="L983" s="299"/>
      <c r="M983" s="299"/>
      <c r="N983" s="299"/>
      <c r="O983" s="299"/>
      <c r="P983" s="299"/>
      <c r="Q983" s="299"/>
      <c r="R983" s="299"/>
      <c r="S983" s="29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</row>
    <row r="984" ht="15.75" customHeight="1">
      <c r="A984" s="298"/>
      <c r="B984" s="299"/>
      <c r="C984" s="299"/>
      <c r="D984" s="299"/>
      <c r="E984" s="300"/>
      <c r="F984" s="299"/>
      <c r="G984" s="299"/>
      <c r="H984" s="301"/>
      <c r="I984" s="301"/>
      <c r="J984" s="301"/>
      <c r="K984" s="301"/>
      <c r="L984" s="299"/>
      <c r="M984" s="299"/>
      <c r="N984" s="299"/>
      <c r="O984" s="299"/>
      <c r="P984" s="299"/>
      <c r="Q984" s="299"/>
      <c r="R984" s="299"/>
      <c r="S984" s="29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</row>
    <row r="985" ht="15.75" customHeight="1">
      <c r="A985" s="298"/>
      <c r="B985" s="299"/>
      <c r="C985" s="299"/>
      <c r="D985" s="299"/>
      <c r="E985" s="300"/>
      <c r="F985" s="299"/>
      <c r="G985" s="299"/>
      <c r="H985" s="301"/>
      <c r="I985" s="301"/>
      <c r="J985" s="301"/>
      <c r="K985" s="301"/>
      <c r="L985" s="299"/>
      <c r="M985" s="299"/>
      <c r="N985" s="299"/>
      <c r="O985" s="299"/>
      <c r="P985" s="299"/>
      <c r="Q985" s="299"/>
      <c r="R985" s="299"/>
      <c r="S985" s="29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</row>
    <row r="986" ht="15.75" customHeight="1">
      <c r="A986" s="298"/>
      <c r="B986" s="299"/>
      <c r="C986" s="299"/>
      <c r="D986" s="299"/>
      <c r="E986" s="300"/>
      <c r="F986" s="299"/>
      <c r="G986" s="299"/>
      <c r="H986" s="301"/>
      <c r="I986" s="301"/>
      <c r="J986" s="301"/>
      <c r="K986" s="301"/>
      <c r="L986" s="299"/>
      <c r="M986" s="299"/>
      <c r="N986" s="299"/>
      <c r="O986" s="299"/>
      <c r="P986" s="299"/>
      <c r="Q986" s="299"/>
      <c r="R986" s="299"/>
      <c r="S986" s="29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</row>
    <row r="987" ht="15.75" customHeight="1">
      <c r="A987" s="298"/>
      <c r="B987" s="299"/>
      <c r="C987" s="299"/>
      <c r="D987" s="299"/>
      <c r="E987" s="300"/>
      <c r="F987" s="299"/>
      <c r="G987" s="299"/>
      <c r="H987" s="301"/>
      <c r="I987" s="301"/>
      <c r="J987" s="301"/>
      <c r="K987" s="301"/>
      <c r="L987" s="299"/>
      <c r="M987" s="299"/>
      <c r="N987" s="299"/>
      <c r="O987" s="299"/>
      <c r="P987" s="299"/>
      <c r="Q987" s="299"/>
      <c r="R987" s="299"/>
      <c r="S987" s="29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</row>
    <row r="988" ht="15.75" customHeight="1">
      <c r="A988" s="298"/>
      <c r="B988" s="299"/>
      <c r="C988" s="299"/>
      <c r="D988" s="299"/>
      <c r="E988" s="300"/>
      <c r="F988" s="299"/>
      <c r="G988" s="299"/>
      <c r="H988" s="301"/>
      <c r="I988" s="301"/>
      <c r="J988" s="301"/>
      <c r="K988" s="301"/>
      <c r="L988" s="299"/>
      <c r="M988" s="299"/>
      <c r="N988" s="299"/>
      <c r="O988" s="299"/>
      <c r="P988" s="299"/>
      <c r="Q988" s="299"/>
      <c r="R988" s="299"/>
      <c r="S988" s="29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</row>
    <row r="989" ht="15.75" customHeight="1">
      <c r="A989" s="298"/>
      <c r="B989" s="299"/>
      <c r="C989" s="299"/>
      <c r="D989" s="299"/>
      <c r="E989" s="300"/>
      <c r="F989" s="299"/>
      <c r="G989" s="299"/>
      <c r="H989" s="301"/>
      <c r="I989" s="301"/>
      <c r="J989" s="301"/>
      <c r="K989" s="301"/>
      <c r="L989" s="299"/>
      <c r="M989" s="299"/>
      <c r="N989" s="299"/>
      <c r="O989" s="299"/>
      <c r="P989" s="299"/>
      <c r="Q989" s="299"/>
      <c r="R989" s="299"/>
      <c r="S989" s="29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</row>
    <row r="990" ht="15.75" customHeight="1">
      <c r="A990" s="298"/>
      <c r="B990" s="299"/>
      <c r="C990" s="299"/>
      <c r="D990" s="299"/>
      <c r="E990" s="300"/>
      <c r="F990" s="299"/>
      <c r="G990" s="299"/>
      <c r="H990" s="301"/>
      <c r="I990" s="301"/>
      <c r="J990" s="301"/>
      <c r="K990" s="301"/>
      <c r="L990" s="299"/>
      <c r="M990" s="299"/>
      <c r="N990" s="299"/>
      <c r="O990" s="299"/>
      <c r="P990" s="299"/>
      <c r="Q990" s="299"/>
      <c r="R990" s="299"/>
      <c r="S990" s="29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</row>
    <row r="991" ht="15.75" customHeight="1">
      <c r="A991" s="298"/>
      <c r="B991" s="299"/>
      <c r="C991" s="299"/>
      <c r="D991" s="299"/>
      <c r="E991" s="300"/>
      <c r="F991" s="299"/>
      <c r="G991" s="299"/>
      <c r="H991" s="301"/>
      <c r="I991" s="301"/>
      <c r="J991" s="301"/>
      <c r="K991" s="301"/>
      <c r="L991" s="299"/>
      <c r="M991" s="299"/>
      <c r="N991" s="299"/>
      <c r="O991" s="299"/>
      <c r="P991" s="299"/>
      <c r="Q991" s="299"/>
      <c r="R991" s="299"/>
      <c r="S991" s="29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</row>
    <row r="992" ht="15.75" customHeight="1">
      <c r="A992" s="298"/>
      <c r="B992" s="299"/>
      <c r="C992" s="299"/>
      <c r="D992" s="299"/>
      <c r="E992" s="300"/>
      <c r="F992" s="299"/>
      <c r="G992" s="299"/>
      <c r="H992" s="301"/>
      <c r="I992" s="301"/>
      <c r="J992" s="301"/>
      <c r="K992" s="301"/>
      <c r="L992" s="299"/>
      <c r="M992" s="299"/>
      <c r="N992" s="299"/>
      <c r="O992" s="299"/>
      <c r="P992" s="299"/>
      <c r="Q992" s="299"/>
      <c r="R992" s="299"/>
      <c r="S992" s="29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</row>
    <row r="993" ht="15.75" customHeight="1">
      <c r="A993" s="298"/>
      <c r="B993" s="299"/>
      <c r="C993" s="299"/>
      <c r="D993" s="299"/>
      <c r="E993" s="300"/>
      <c r="F993" s="299"/>
      <c r="G993" s="299"/>
      <c r="H993" s="301"/>
      <c r="I993" s="301"/>
      <c r="J993" s="301"/>
      <c r="K993" s="301"/>
      <c r="L993" s="299"/>
      <c r="M993" s="299"/>
      <c r="N993" s="299"/>
      <c r="O993" s="299"/>
      <c r="P993" s="299"/>
      <c r="Q993" s="299"/>
      <c r="R993" s="299"/>
      <c r="S993" s="29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</row>
    <row r="994" ht="15.75" customHeight="1">
      <c r="A994" s="298"/>
      <c r="B994" s="299"/>
      <c r="C994" s="299"/>
      <c r="D994" s="299"/>
      <c r="E994" s="300"/>
      <c r="F994" s="299"/>
      <c r="G994" s="299"/>
      <c r="H994" s="301"/>
      <c r="I994" s="301"/>
      <c r="J994" s="301"/>
      <c r="K994" s="301"/>
      <c r="L994" s="299"/>
      <c r="M994" s="299"/>
      <c r="N994" s="299"/>
      <c r="O994" s="299"/>
      <c r="P994" s="299"/>
      <c r="Q994" s="299"/>
      <c r="R994" s="299"/>
      <c r="S994" s="29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</row>
    <row r="995" ht="15.75" customHeight="1">
      <c r="A995" s="298"/>
      <c r="B995" s="299"/>
      <c r="C995" s="299"/>
      <c r="D995" s="299"/>
      <c r="E995" s="300"/>
      <c r="F995" s="299"/>
      <c r="G995" s="299"/>
      <c r="H995" s="301"/>
      <c r="I995" s="301"/>
      <c r="J995" s="301"/>
      <c r="K995" s="301"/>
      <c r="L995" s="299"/>
      <c r="M995" s="299"/>
      <c r="N995" s="299"/>
      <c r="O995" s="299"/>
      <c r="P995" s="299"/>
      <c r="Q995" s="299"/>
      <c r="R995" s="299"/>
      <c r="S995" s="29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</row>
    <row r="996" ht="15.75" customHeight="1">
      <c r="A996" s="298"/>
      <c r="B996" s="299"/>
      <c r="C996" s="299"/>
      <c r="D996" s="299"/>
      <c r="E996" s="300"/>
      <c r="F996" s="299"/>
      <c r="G996" s="299"/>
      <c r="H996" s="301"/>
      <c r="I996" s="301"/>
      <c r="J996" s="301"/>
      <c r="K996" s="301"/>
      <c r="L996" s="299"/>
      <c r="M996" s="299"/>
      <c r="N996" s="299"/>
      <c r="O996" s="299"/>
      <c r="P996" s="299"/>
      <c r="Q996" s="299"/>
      <c r="R996" s="299"/>
      <c r="S996" s="29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</row>
    <row r="997" ht="15.75" customHeight="1">
      <c r="A997" s="298"/>
      <c r="B997" s="299"/>
      <c r="C997" s="299"/>
      <c r="D997" s="299"/>
      <c r="E997" s="300"/>
      <c r="F997" s="299"/>
      <c r="G997" s="299"/>
      <c r="H997" s="301"/>
      <c r="I997" s="301"/>
      <c r="J997" s="301"/>
      <c r="K997" s="301"/>
      <c r="L997" s="299"/>
      <c r="M997" s="299"/>
      <c r="N997" s="299"/>
      <c r="O997" s="299"/>
      <c r="P997" s="299"/>
      <c r="Q997" s="299"/>
      <c r="R997" s="299"/>
      <c r="S997" s="29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</row>
    <row r="998" ht="15.75" customHeight="1">
      <c r="A998" s="298"/>
      <c r="B998" s="299"/>
      <c r="C998" s="299"/>
      <c r="D998" s="299"/>
      <c r="E998" s="300"/>
      <c r="F998" s="299"/>
      <c r="G998" s="299"/>
      <c r="H998" s="301"/>
      <c r="I998" s="301"/>
      <c r="J998" s="301"/>
      <c r="K998" s="301"/>
      <c r="L998" s="299"/>
      <c r="M998" s="299"/>
      <c r="N998" s="299"/>
      <c r="O998" s="299"/>
      <c r="P998" s="299"/>
      <c r="Q998" s="299"/>
      <c r="R998" s="299"/>
      <c r="S998" s="29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</row>
    <row r="999" ht="15.75" customHeight="1">
      <c r="A999" s="298"/>
      <c r="B999" s="299"/>
      <c r="C999" s="299"/>
      <c r="D999" s="299"/>
      <c r="E999" s="300"/>
      <c r="F999" s="299"/>
      <c r="G999" s="299"/>
      <c r="H999" s="301"/>
      <c r="I999" s="301"/>
      <c r="J999" s="301"/>
      <c r="K999" s="301"/>
      <c r="L999" s="299"/>
      <c r="M999" s="299"/>
      <c r="N999" s="299"/>
      <c r="O999" s="299"/>
      <c r="P999" s="299"/>
      <c r="Q999" s="299"/>
      <c r="R999" s="299"/>
      <c r="S999" s="29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</row>
    <row r="1000" ht="15.75" customHeight="1">
      <c r="A1000" s="298"/>
      <c r="B1000" s="299"/>
      <c r="C1000" s="299"/>
      <c r="D1000" s="299"/>
      <c r="E1000" s="300"/>
      <c r="F1000" s="299"/>
      <c r="G1000" s="299"/>
      <c r="H1000" s="301"/>
      <c r="I1000" s="301"/>
      <c r="J1000" s="301"/>
      <c r="K1000" s="301"/>
      <c r="L1000" s="299"/>
      <c r="M1000" s="299"/>
      <c r="N1000" s="299"/>
      <c r="O1000" s="299"/>
      <c r="P1000" s="299"/>
      <c r="Q1000" s="299"/>
      <c r="R1000" s="299"/>
      <c r="S1000" s="29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</row>
    <row r="1001" ht="15.75" customHeight="1">
      <c r="A1001" s="298"/>
      <c r="B1001" s="299"/>
      <c r="C1001" s="299"/>
      <c r="D1001" s="299"/>
      <c r="E1001" s="300"/>
      <c r="F1001" s="299"/>
      <c r="G1001" s="299"/>
      <c r="H1001" s="301"/>
      <c r="I1001" s="301"/>
      <c r="J1001" s="301"/>
      <c r="K1001" s="301"/>
      <c r="L1001" s="299"/>
      <c r="M1001" s="299"/>
      <c r="N1001" s="299"/>
      <c r="O1001" s="299"/>
      <c r="P1001" s="299"/>
      <c r="Q1001" s="299"/>
      <c r="R1001" s="299"/>
      <c r="S1001" s="299"/>
      <c r="T1001" s="59"/>
      <c r="U1001" s="59"/>
      <c r="V1001" s="59"/>
      <c r="W1001" s="59"/>
      <c r="X1001" s="59"/>
      <c r="Y1001" s="59"/>
      <c r="Z1001" s="59"/>
      <c r="AA1001" s="59"/>
      <c r="AB1001" s="59"/>
      <c r="AC1001" s="59"/>
    </row>
    <row r="1002" ht="15.75" customHeight="1">
      <c r="A1002" s="298"/>
      <c r="B1002" s="299"/>
      <c r="C1002" s="299"/>
      <c r="D1002" s="299"/>
      <c r="E1002" s="300"/>
      <c r="F1002" s="299"/>
      <c r="G1002" s="299"/>
      <c r="H1002" s="301"/>
      <c r="I1002" s="301"/>
      <c r="J1002" s="301"/>
      <c r="K1002" s="301"/>
      <c r="L1002" s="299"/>
      <c r="M1002" s="299"/>
      <c r="N1002" s="299"/>
      <c r="O1002" s="299"/>
      <c r="P1002" s="299"/>
      <c r="Q1002" s="299"/>
      <c r="R1002" s="299"/>
      <c r="S1002" s="299"/>
      <c r="T1002" s="59"/>
      <c r="U1002" s="59"/>
      <c r="V1002" s="59"/>
      <c r="W1002" s="59"/>
      <c r="X1002" s="59"/>
      <c r="Y1002" s="59"/>
      <c r="Z1002" s="59"/>
      <c r="AA1002" s="59"/>
      <c r="AB1002" s="59"/>
      <c r="AC1002" s="59"/>
    </row>
    <row r="1003" ht="15.75" customHeight="1">
      <c r="A1003" s="298"/>
      <c r="B1003" s="299"/>
      <c r="C1003" s="299"/>
      <c r="D1003" s="299"/>
      <c r="E1003" s="300"/>
      <c r="F1003" s="299"/>
      <c r="G1003" s="299"/>
      <c r="H1003" s="301"/>
      <c r="I1003" s="301"/>
      <c r="J1003" s="301"/>
      <c r="K1003" s="301"/>
      <c r="L1003" s="299"/>
      <c r="M1003" s="299"/>
      <c r="N1003" s="299"/>
      <c r="O1003" s="299"/>
      <c r="P1003" s="299"/>
      <c r="Q1003" s="299"/>
      <c r="R1003" s="299"/>
      <c r="S1003" s="299"/>
      <c r="T1003" s="59"/>
      <c r="U1003" s="59"/>
      <c r="V1003" s="59"/>
      <c r="W1003" s="59"/>
      <c r="X1003" s="59"/>
      <c r="Y1003" s="59"/>
      <c r="Z1003" s="59"/>
      <c r="AA1003" s="59"/>
      <c r="AB1003" s="59"/>
      <c r="AC1003" s="59"/>
    </row>
    <row r="1004" ht="15.75" customHeight="1">
      <c r="A1004" s="298"/>
      <c r="B1004" s="299"/>
      <c r="C1004" s="299"/>
      <c r="D1004" s="299"/>
      <c r="E1004" s="300"/>
      <c r="F1004" s="299"/>
      <c r="G1004" s="299"/>
      <c r="H1004" s="301"/>
      <c r="I1004" s="301"/>
      <c r="J1004" s="301"/>
      <c r="K1004" s="301"/>
      <c r="L1004" s="299"/>
      <c r="M1004" s="299"/>
      <c r="N1004" s="299"/>
      <c r="O1004" s="299"/>
      <c r="P1004" s="299"/>
      <c r="Q1004" s="299"/>
      <c r="R1004" s="299"/>
      <c r="S1004" s="299"/>
      <c r="T1004" s="59"/>
      <c r="U1004" s="59"/>
      <c r="V1004" s="59"/>
      <c r="W1004" s="59"/>
      <c r="X1004" s="59"/>
      <c r="Y1004" s="59"/>
      <c r="Z1004" s="59"/>
      <c r="AA1004" s="59"/>
      <c r="AB1004" s="59"/>
      <c r="AC1004" s="59"/>
    </row>
    <row r="1005" ht="15.75" customHeight="1">
      <c r="A1005" s="298"/>
      <c r="B1005" s="299"/>
      <c r="C1005" s="299"/>
      <c r="D1005" s="299"/>
      <c r="E1005" s="300"/>
      <c r="F1005" s="299"/>
      <c r="G1005" s="299"/>
      <c r="H1005" s="301"/>
      <c r="I1005" s="301"/>
      <c r="J1005" s="301"/>
      <c r="K1005" s="301"/>
      <c r="L1005" s="299"/>
      <c r="M1005" s="299"/>
      <c r="N1005" s="299"/>
      <c r="O1005" s="299"/>
      <c r="P1005" s="299"/>
      <c r="Q1005" s="299"/>
      <c r="R1005" s="299"/>
      <c r="S1005" s="299"/>
      <c r="T1005" s="59"/>
      <c r="U1005" s="59"/>
      <c r="V1005" s="59"/>
      <c r="W1005" s="59"/>
      <c r="X1005" s="59"/>
      <c r="Y1005" s="59"/>
      <c r="Z1005" s="59"/>
      <c r="AA1005" s="59"/>
      <c r="AB1005" s="59"/>
      <c r="AC1005" s="59"/>
    </row>
    <row r="1006" ht="15.75" customHeight="1">
      <c r="A1006" s="298"/>
      <c r="B1006" s="299"/>
      <c r="C1006" s="299"/>
      <c r="D1006" s="299"/>
      <c r="E1006" s="300"/>
      <c r="F1006" s="299"/>
      <c r="G1006" s="299"/>
      <c r="H1006" s="301"/>
      <c r="I1006" s="301"/>
      <c r="J1006" s="301"/>
      <c r="K1006" s="301"/>
      <c r="L1006" s="299"/>
      <c r="M1006" s="299"/>
      <c r="N1006" s="299"/>
      <c r="O1006" s="299"/>
      <c r="P1006" s="299"/>
      <c r="Q1006" s="299"/>
      <c r="R1006" s="299"/>
      <c r="S1006" s="29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</row>
    <row r="1007" ht="15.75" customHeight="1">
      <c r="A1007" s="298"/>
      <c r="B1007" s="299"/>
      <c r="C1007" s="299"/>
      <c r="D1007" s="299"/>
      <c r="E1007" s="300"/>
      <c r="F1007" s="299"/>
      <c r="G1007" s="299"/>
      <c r="H1007" s="301"/>
      <c r="I1007" s="301"/>
      <c r="J1007" s="301"/>
      <c r="K1007" s="301"/>
      <c r="L1007" s="299"/>
      <c r="M1007" s="299"/>
      <c r="N1007" s="299"/>
      <c r="O1007" s="299"/>
      <c r="P1007" s="299"/>
      <c r="Q1007" s="299"/>
      <c r="R1007" s="299"/>
      <c r="S1007" s="299"/>
      <c r="T1007" s="59"/>
      <c r="U1007" s="59"/>
      <c r="V1007" s="59"/>
      <c r="W1007" s="59"/>
      <c r="X1007" s="59"/>
      <c r="Y1007" s="59"/>
      <c r="Z1007" s="59"/>
      <c r="AA1007" s="59"/>
      <c r="AB1007" s="59"/>
      <c r="AC1007" s="59"/>
    </row>
    <row r="1008" ht="15.75" customHeight="1">
      <c r="A1008" s="298"/>
      <c r="B1008" s="299"/>
      <c r="C1008" s="299"/>
      <c r="D1008" s="299"/>
      <c r="E1008" s="300"/>
      <c r="F1008" s="299"/>
      <c r="G1008" s="299"/>
      <c r="H1008" s="301"/>
      <c r="I1008" s="301"/>
      <c r="J1008" s="301"/>
      <c r="K1008" s="301"/>
      <c r="L1008" s="299"/>
      <c r="M1008" s="299"/>
      <c r="N1008" s="299"/>
      <c r="O1008" s="299"/>
      <c r="P1008" s="299"/>
      <c r="Q1008" s="299"/>
      <c r="R1008" s="299"/>
      <c r="S1008" s="299"/>
      <c r="T1008" s="59"/>
      <c r="U1008" s="59"/>
      <c r="V1008" s="59"/>
      <c r="W1008" s="59"/>
      <c r="X1008" s="59"/>
      <c r="Y1008" s="59"/>
      <c r="Z1008" s="59"/>
      <c r="AA1008" s="59"/>
      <c r="AB1008" s="59"/>
      <c r="AC1008" s="59"/>
    </row>
    <row r="1009" ht="15.75" customHeight="1">
      <c r="A1009" s="298"/>
      <c r="B1009" s="299"/>
      <c r="C1009" s="299"/>
      <c r="D1009" s="299"/>
      <c r="E1009" s="300"/>
      <c r="F1009" s="299"/>
      <c r="G1009" s="299"/>
      <c r="H1009" s="301"/>
      <c r="I1009" s="301"/>
      <c r="J1009" s="301"/>
      <c r="K1009" s="301"/>
      <c r="L1009" s="299"/>
      <c r="M1009" s="299"/>
      <c r="N1009" s="299"/>
      <c r="O1009" s="299"/>
      <c r="P1009" s="299"/>
      <c r="Q1009" s="299"/>
      <c r="R1009" s="299"/>
      <c r="S1009" s="299"/>
      <c r="T1009" s="59"/>
      <c r="U1009" s="59"/>
      <c r="V1009" s="59"/>
      <c r="W1009" s="59"/>
      <c r="X1009" s="59"/>
      <c r="Y1009" s="59"/>
      <c r="Z1009" s="59"/>
      <c r="AA1009" s="59"/>
      <c r="AB1009" s="59"/>
      <c r="AC1009" s="59"/>
    </row>
    <row r="1010" ht="15.75" customHeight="1">
      <c r="A1010" s="298"/>
      <c r="B1010" s="299"/>
      <c r="C1010" s="299"/>
      <c r="D1010" s="299"/>
      <c r="E1010" s="300"/>
      <c r="F1010" s="299"/>
      <c r="G1010" s="299"/>
      <c r="H1010" s="301"/>
      <c r="I1010" s="301"/>
      <c r="J1010" s="301"/>
      <c r="K1010" s="301"/>
      <c r="L1010" s="299"/>
      <c r="M1010" s="299"/>
      <c r="N1010" s="299"/>
      <c r="O1010" s="299"/>
      <c r="P1010" s="299"/>
      <c r="Q1010" s="299"/>
      <c r="R1010" s="299"/>
      <c r="S1010" s="299"/>
      <c r="T1010" s="59"/>
      <c r="U1010" s="59"/>
      <c r="V1010" s="59"/>
      <c r="W1010" s="59"/>
      <c r="X1010" s="59"/>
      <c r="Y1010" s="59"/>
      <c r="Z1010" s="59"/>
      <c r="AA1010" s="59"/>
      <c r="AB1010" s="59"/>
      <c r="AC1010" s="59"/>
    </row>
    <row r="1011" ht="15.75" customHeight="1">
      <c r="A1011" s="298"/>
      <c r="B1011" s="299"/>
      <c r="C1011" s="299"/>
      <c r="D1011" s="299"/>
      <c r="E1011" s="300"/>
      <c r="F1011" s="299"/>
      <c r="G1011" s="299"/>
      <c r="H1011" s="301"/>
      <c r="I1011" s="301"/>
      <c r="J1011" s="301"/>
      <c r="K1011" s="301"/>
      <c r="L1011" s="299"/>
      <c r="M1011" s="299"/>
      <c r="N1011" s="299"/>
      <c r="O1011" s="299"/>
      <c r="P1011" s="299"/>
      <c r="Q1011" s="299"/>
      <c r="R1011" s="299"/>
      <c r="S1011" s="299"/>
      <c r="T1011" s="59"/>
      <c r="U1011" s="59"/>
      <c r="V1011" s="59"/>
      <c r="W1011" s="59"/>
      <c r="X1011" s="59"/>
      <c r="Y1011" s="59"/>
      <c r="Z1011" s="59"/>
      <c r="AA1011" s="59"/>
      <c r="AB1011" s="59"/>
      <c r="AC1011" s="59"/>
    </row>
    <row r="1012" ht="15.75" customHeight="1">
      <c r="A1012" s="298"/>
      <c r="B1012" s="299"/>
      <c r="C1012" s="299"/>
      <c r="D1012" s="299"/>
      <c r="E1012" s="300"/>
      <c r="F1012" s="299"/>
      <c r="G1012" s="299"/>
      <c r="H1012" s="301"/>
      <c r="I1012" s="301"/>
      <c r="J1012" s="301"/>
      <c r="K1012" s="301"/>
      <c r="L1012" s="299"/>
      <c r="M1012" s="299"/>
      <c r="N1012" s="299"/>
      <c r="O1012" s="299"/>
      <c r="P1012" s="299"/>
      <c r="Q1012" s="299"/>
      <c r="R1012" s="299"/>
      <c r="S1012" s="299"/>
      <c r="T1012" s="59"/>
      <c r="U1012" s="59"/>
      <c r="V1012" s="59"/>
      <c r="W1012" s="59"/>
      <c r="X1012" s="59"/>
      <c r="Y1012" s="59"/>
      <c r="Z1012" s="59"/>
      <c r="AA1012" s="59"/>
      <c r="AB1012" s="59"/>
      <c r="AC1012" s="59"/>
    </row>
    <row r="1013" ht="15.75" customHeight="1">
      <c r="A1013" s="298"/>
      <c r="B1013" s="299"/>
      <c r="C1013" s="299"/>
      <c r="D1013" s="299"/>
      <c r="E1013" s="300"/>
      <c r="F1013" s="299"/>
      <c r="G1013" s="299"/>
      <c r="H1013" s="301"/>
      <c r="I1013" s="301"/>
      <c r="J1013" s="301"/>
      <c r="K1013" s="301"/>
      <c r="L1013" s="299"/>
      <c r="M1013" s="299"/>
      <c r="N1013" s="299"/>
      <c r="O1013" s="299"/>
      <c r="P1013" s="299"/>
      <c r="Q1013" s="299"/>
      <c r="R1013" s="299"/>
      <c r="S1013" s="299"/>
      <c r="T1013" s="59"/>
      <c r="U1013" s="59"/>
      <c r="V1013" s="59"/>
      <c r="W1013" s="59"/>
      <c r="X1013" s="59"/>
      <c r="Y1013" s="59"/>
      <c r="Z1013" s="59"/>
      <c r="AA1013" s="59"/>
      <c r="AB1013" s="59"/>
      <c r="AC1013" s="59"/>
    </row>
    <row r="1014" ht="15.75" customHeight="1">
      <c r="A1014" s="298"/>
      <c r="B1014" s="299"/>
      <c r="C1014" s="299"/>
      <c r="D1014" s="299"/>
      <c r="E1014" s="300"/>
      <c r="F1014" s="299"/>
      <c r="G1014" s="299"/>
      <c r="H1014" s="301"/>
      <c r="I1014" s="301"/>
      <c r="J1014" s="301"/>
      <c r="K1014" s="301"/>
      <c r="L1014" s="299"/>
      <c r="M1014" s="299"/>
      <c r="N1014" s="299"/>
      <c r="O1014" s="299"/>
      <c r="P1014" s="299"/>
      <c r="Q1014" s="299"/>
      <c r="R1014" s="299"/>
      <c r="S1014" s="299"/>
      <c r="T1014" s="59"/>
      <c r="U1014" s="59"/>
      <c r="V1014" s="59"/>
      <c r="W1014" s="59"/>
      <c r="X1014" s="59"/>
      <c r="Y1014" s="59"/>
      <c r="Z1014" s="59"/>
      <c r="AA1014" s="59"/>
      <c r="AB1014" s="59"/>
      <c r="AC1014" s="59"/>
    </row>
    <row r="1015" ht="15.75" customHeight="1">
      <c r="A1015" s="298"/>
      <c r="B1015" s="299"/>
      <c r="C1015" s="299"/>
      <c r="D1015" s="299"/>
      <c r="E1015" s="300"/>
      <c r="F1015" s="299"/>
      <c r="G1015" s="299"/>
      <c r="H1015" s="301"/>
      <c r="I1015" s="301"/>
      <c r="J1015" s="301"/>
      <c r="K1015" s="301"/>
      <c r="L1015" s="299"/>
      <c r="M1015" s="299"/>
      <c r="N1015" s="299"/>
      <c r="O1015" s="299"/>
      <c r="P1015" s="299"/>
      <c r="Q1015" s="299"/>
      <c r="R1015" s="299"/>
      <c r="S1015" s="299"/>
      <c r="T1015" s="59"/>
      <c r="U1015" s="59"/>
      <c r="V1015" s="59"/>
      <c r="W1015" s="59"/>
      <c r="X1015" s="59"/>
      <c r="Y1015" s="59"/>
      <c r="Z1015" s="59"/>
      <c r="AA1015" s="59"/>
      <c r="AB1015" s="59"/>
      <c r="AC1015" s="59"/>
    </row>
    <row r="1016" ht="15.75" customHeight="1">
      <c r="A1016" s="298"/>
      <c r="B1016" s="299"/>
      <c r="C1016" s="299"/>
      <c r="D1016" s="299"/>
      <c r="E1016" s="300"/>
      <c r="F1016" s="299"/>
      <c r="G1016" s="299"/>
      <c r="H1016" s="301"/>
      <c r="I1016" s="301"/>
      <c r="J1016" s="301"/>
      <c r="K1016" s="301"/>
      <c r="L1016" s="299"/>
      <c r="M1016" s="299"/>
      <c r="N1016" s="299"/>
      <c r="O1016" s="299"/>
      <c r="P1016" s="299"/>
      <c r="Q1016" s="299"/>
      <c r="R1016" s="299"/>
      <c r="S1016" s="299"/>
      <c r="T1016" s="59"/>
      <c r="U1016" s="59"/>
      <c r="V1016" s="59"/>
      <c r="W1016" s="59"/>
      <c r="X1016" s="59"/>
      <c r="Y1016" s="59"/>
      <c r="Z1016" s="59"/>
      <c r="AA1016" s="59"/>
      <c r="AB1016" s="59"/>
      <c r="AC1016" s="59"/>
    </row>
    <row r="1017" ht="15.75" customHeight="1">
      <c r="A1017" s="298"/>
      <c r="B1017" s="299"/>
      <c r="C1017" s="299"/>
      <c r="D1017" s="299"/>
      <c r="E1017" s="300"/>
      <c r="F1017" s="299"/>
      <c r="G1017" s="299"/>
      <c r="H1017" s="301"/>
      <c r="I1017" s="301"/>
      <c r="J1017" s="301"/>
      <c r="K1017" s="301"/>
      <c r="L1017" s="299"/>
      <c r="M1017" s="299"/>
      <c r="N1017" s="299"/>
      <c r="O1017" s="299"/>
      <c r="P1017" s="299"/>
      <c r="Q1017" s="299"/>
      <c r="R1017" s="299"/>
      <c r="S1017" s="299"/>
      <c r="T1017" s="59"/>
      <c r="U1017" s="59"/>
      <c r="V1017" s="59"/>
      <c r="W1017" s="59"/>
      <c r="X1017" s="59"/>
      <c r="Y1017" s="59"/>
      <c r="Z1017" s="59"/>
      <c r="AA1017" s="59"/>
      <c r="AB1017" s="59"/>
      <c r="AC1017" s="59"/>
    </row>
    <row r="1018" ht="15.75" customHeight="1">
      <c r="A1018" s="298"/>
      <c r="B1018" s="299"/>
      <c r="C1018" s="299"/>
      <c r="D1018" s="299"/>
      <c r="E1018" s="300"/>
      <c r="F1018" s="299"/>
      <c r="G1018" s="299"/>
      <c r="H1018" s="301"/>
      <c r="I1018" s="301"/>
      <c r="J1018" s="301"/>
      <c r="K1018" s="301"/>
      <c r="L1018" s="299"/>
      <c r="M1018" s="299"/>
      <c r="N1018" s="299"/>
      <c r="O1018" s="299"/>
      <c r="P1018" s="299"/>
      <c r="Q1018" s="299"/>
      <c r="R1018" s="299"/>
      <c r="S1018" s="299"/>
      <c r="T1018" s="59"/>
      <c r="U1018" s="59"/>
      <c r="V1018" s="59"/>
      <c r="W1018" s="59"/>
      <c r="X1018" s="59"/>
      <c r="Y1018" s="59"/>
      <c r="Z1018" s="59"/>
      <c r="AA1018" s="59"/>
      <c r="AB1018" s="59"/>
      <c r="AC1018" s="59"/>
    </row>
    <row r="1019" ht="15.75" customHeight="1">
      <c r="A1019" s="298"/>
      <c r="B1019" s="299"/>
      <c r="C1019" s="299"/>
      <c r="D1019" s="299"/>
      <c r="E1019" s="300"/>
      <c r="F1019" s="299"/>
      <c r="G1019" s="299"/>
      <c r="H1019" s="301"/>
      <c r="I1019" s="301"/>
      <c r="J1019" s="301"/>
      <c r="K1019" s="301"/>
      <c r="L1019" s="299"/>
      <c r="M1019" s="299"/>
      <c r="N1019" s="299"/>
      <c r="O1019" s="299"/>
      <c r="P1019" s="299"/>
      <c r="Q1019" s="299"/>
      <c r="R1019" s="299"/>
      <c r="S1019" s="299"/>
      <c r="T1019" s="59"/>
      <c r="U1019" s="59"/>
      <c r="V1019" s="59"/>
      <c r="W1019" s="59"/>
      <c r="X1019" s="59"/>
      <c r="Y1019" s="59"/>
      <c r="Z1019" s="59"/>
      <c r="AA1019" s="59"/>
      <c r="AB1019" s="59"/>
      <c r="AC1019" s="59"/>
    </row>
    <row r="1020" ht="15.75" customHeight="1">
      <c r="A1020" s="298"/>
      <c r="B1020" s="299"/>
      <c r="C1020" s="299"/>
      <c r="D1020" s="299"/>
      <c r="E1020" s="300"/>
      <c r="F1020" s="299"/>
      <c r="G1020" s="299"/>
      <c r="H1020" s="301"/>
      <c r="I1020" s="301"/>
      <c r="J1020" s="301"/>
      <c r="K1020" s="301"/>
      <c r="L1020" s="299"/>
      <c r="M1020" s="299"/>
      <c r="N1020" s="299"/>
      <c r="O1020" s="299"/>
      <c r="P1020" s="299"/>
      <c r="Q1020" s="299"/>
      <c r="R1020" s="299"/>
      <c r="S1020" s="299"/>
      <c r="T1020" s="59"/>
      <c r="U1020" s="59"/>
      <c r="V1020" s="59"/>
      <c r="W1020" s="59"/>
      <c r="X1020" s="59"/>
      <c r="Y1020" s="59"/>
      <c r="Z1020" s="59"/>
      <c r="AA1020" s="59"/>
      <c r="AB1020" s="59"/>
      <c r="AC1020" s="59"/>
    </row>
    <row r="1021" ht="15.75" customHeight="1">
      <c r="A1021" s="298"/>
      <c r="B1021" s="299"/>
      <c r="C1021" s="299"/>
      <c r="D1021" s="299"/>
      <c r="E1021" s="300"/>
      <c r="F1021" s="299"/>
      <c r="G1021" s="299"/>
      <c r="H1021" s="301"/>
      <c r="I1021" s="301"/>
      <c r="J1021" s="301"/>
      <c r="K1021" s="301"/>
      <c r="L1021" s="299"/>
      <c r="M1021" s="299"/>
      <c r="N1021" s="299"/>
      <c r="O1021" s="299"/>
      <c r="P1021" s="299"/>
      <c r="Q1021" s="299"/>
      <c r="R1021" s="299"/>
      <c r="S1021" s="299"/>
      <c r="T1021" s="59"/>
      <c r="U1021" s="59"/>
      <c r="V1021" s="59"/>
      <c r="W1021" s="59"/>
      <c r="X1021" s="59"/>
      <c r="Y1021" s="59"/>
      <c r="Z1021" s="59"/>
      <c r="AA1021" s="59"/>
      <c r="AB1021" s="59"/>
      <c r="AC1021" s="59"/>
    </row>
    <row r="1022" ht="15.75" customHeight="1">
      <c r="A1022" s="298"/>
      <c r="B1022" s="299"/>
      <c r="C1022" s="299"/>
      <c r="D1022" s="299"/>
      <c r="E1022" s="300"/>
      <c r="F1022" s="299"/>
      <c r="G1022" s="299"/>
      <c r="H1022" s="301"/>
      <c r="I1022" s="301"/>
      <c r="J1022" s="301"/>
      <c r="K1022" s="301"/>
      <c r="L1022" s="299"/>
      <c r="M1022" s="299"/>
      <c r="N1022" s="299"/>
      <c r="O1022" s="299"/>
      <c r="P1022" s="299"/>
      <c r="Q1022" s="299"/>
      <c r="R1022" s="299"/>
      <c r="S1022" s="299"/>
      <c r="T1022" s="59"/>
      <c r="U1022" s="59"/>
      <c r="V1022" s="59"/>
      <c r="W1022" s="59"/>
      <c r="X1022" s="59"/>
      <c r="Y1022" s="59"/>
      <c r="Z1022" s="59"/>
      <c r="AA1022" s="59"/>
      <c r="AB1022" s="59"/>
      <c r="AC1022" s="59"/>
    </row>
    <row r="1023" ht="15.75" customHeight="1">
      <c r="A1023" s="298"/>
      <c r="B1023" s="299"/>
      <c r="C1023" s="299"/>
      <c r="D1023" s="299"/>
      <c r="E1023" s="300"/>
      <c r="F1023" s="299"/>
      <c r="G1023" s="299"/>
      <c r="H1023" s="301"/>
      <c r="I1023" s="301"/>
      <c r="J1023" s="301"/>
      <c r="K1023" s="301"/>
      <c r="L1023" s="299"/>
      <c r="M1023" s="299"/>
      <c r="N1023" s="299"/>
      <c r="O1023" s="299"/>
      <c r="P1023" s="299"/>
      <c r="Q1023" s="299"/>
      <c r="R1023" s="299"/>
      <c r="S1023" s="299"/>
      <c r="T1023" s="59"/>
      <c r="U1023" s="59"/>
      <c r="V1023" s="59"/>
      <c r="W1023" s="59"/>
      <c r="X1023" s="59"/>
      <c r="Y1023" s="59"/>
      <c r="Z1023" s="59"/>
      <c r="AA1023" s="59"/>
      <c r="AB1023" s="59"/>
      <c r="AC1023" s="59"/>
    </row>
    <row r="1024" ht="15.75" customHeight="1">
      <c r="A1024" s="298"/>
      <c r="B1024" s="299"/>
      <c r="C1024" s="299"/>
      <c r="D1024" s="299"/>
      <c r="E1024" s="300"/>
      <c r="F1024" s="299"/>
      <c r="G1024" s="299"/>
      <c r="H1024" s="301"/>
      <c r="I1024" s="301"/>
      <c r="J1024" s="301"/>
      <c r="K1024" s="301"/>
      <c r="L1024" s="299"/>
      <c r="M1024" s="299"/>
      <c r="N1024" s="299"/>
      <c r="O1024" s="299"/>
      <c r="P1024" s="299"/>
      <c r="Q1024" s="299"/>
      <c r="R1024" s="299"/>
      <c r="S1024" s="299"/>
      <c r="T1024" s="59"/>
      <c r="U1024" s="59"/>
      <c r="V1024" s="59"/>
      <c r="W1024" s="59"/>
      <c r="X1024" s="59"/>
      <c r="Y1024" s="59"/>
      <c r="Z1024" s="59"/>
      <c r="AA1024" s="59"/>
      <c r="AB1024" s="59"/>
      <c r="AC1024" s="59"/>
    </row>
    <row r="1025" ht="15.75" customHeight="1">
      <c r="A1025" s="298"/>
      <c r="B1025" s="299"/>
      <c r="C1025" s="299"/>
      <c r="D1025" s="299"/>
      <c r="E1025" s="300"/>
      <c r="F1025" s="299"/>
      <c r="G1025" s="299"/>
      <c r="H1025" s="301"/>
      <c r="I1025" s="301"/>
      <c r="J1025" s="301"/>
      <c r="K1025" s="301"/>
      <c r="L1025" s="299"/>
      <c r="M1025" s="299"/>
      <c r="N1025" s="299"/>
      <c r="O1025" s="299"/>
      <c r="P1025" s="299"/>
      <c r="Q1025" s="299"/>
      <c r="R1025" s="299"/>
      <c r="S1025" s="299"/>
      <c r="T1025" s="59"/>
      <c r="U1025" s="59"/>
      <c r="V1025" s="59"/>
      <c r="W1025" s="59"/>
      <c r="X1025" s="59"/>
      <c r="Y1025" s="59"/>
      <c r="Z1025" s="59"/>
      <c r="AA1025" s="59"/>
      <c r="AB1025" s="59"/>
      <c r="AC1025" s="59"/>
    </row>
    <row r="1026" ht="15.75" customHeight="1">
      <c r="A1026" s="298"/>
      <c r="B1026" s="299"/>
      <c r="C1026" s="299"/>
      <c r="D1026" s="299"/>
      <c r="E1026" s="300"/>
      <c r="F1026" s="299"/>
      <c r="G1026" s="299"/>
      <c r="H1026" s="301"/>
      <c r="I1026" s="301"/>
      <c r="J1026" s="301"/>
      <c r="K1026" s="301"/>
      <c r="L1026" s="299"/>
      <c r="M1026" s="299"/>
      <c r="N1026" s="299"/>
      <c r="O1026" s="299"/>
      <c r="P1026" s="299"/>
      <c r="Q1026" s="299"/>
      <c r="R1026" s="299"/>
      <c r="S1026" s="299"/>
      <c r="T1026" s="59"/>
      <c r="U1026" s="59"/>
      <c r="V1026" s="59"/>
      <c r="W1026" s="59"/>
      <c r="X1026" s="59"/>
      <c r="Y1026" s="59"/>
      <c r="Z1026" s="59"/>
      <c r="AA1026" s="59"/>
      <c r="AB1026" s="59"/>
      <c r="AC1026" s="59"/>
    </row>
    <row r="1027" ht="15.75" customHeight="1">
      <c r="A1027" s="298"/>
      <c r="B1027" s="299"/>
      <c r="C1027" s="299"/>
      <c r="D1027" s="299"/>
      <c r="E1027" s="300"/>
      <c r="F1027" s="299"/>
      <c r="G1027" s="299"/>
      <c r="H1027" s="301"/>
      <c r="I1027" s="301"/>
      <c r="J1027" s="301"/>
      <c r="K1027" s="301"/>
      <c r="L1027" s="299"/>
      <c r="M1027" s="299"/>
      <c r="N1027" s="299"/>
      <c r="O1027" s="299"/>
      <c r="P1027" s="299"/>
      <c r="Q1027" s="299"/>
      <c r="R1027" s="299"/>
      <c r="S1027" s="299"/>
      <c r="T1027" s="59"/>
      <c r="U1027" s="59"/>
      <c r="V1027" s="59"/>
      <c r="W1027" s="59"/>
      <c r="X1027" s="59"/>
      <c r="Y1027" s="59"/>
      <c r="Z1027" s="59"/>
      <c r="AA1027" s="59"/>
      <c r="AB1027" s="59"/>
      <c r="AC1027" s="59"/>
    </row>
    <row r="1028" ht="15.75" customHeight="1">
      <c r="A1028" s="298"/>
      <c r="B1028" s="299"/>
      <c r="C1028" s="299"/>
      <c r="D1028" s="299"/>
      <c r="E1028" s="300"/>
      <c r="F1028" s="299"/>
      <c r="G1028" s="299"/>
      <c r="H1028" s="301"/>
      <c r="I1028" s="301"/>
      <c r="J1028" s="301"/>
      <c r="K1028" s="301"/>
      <c r="L1028" s="299"/>
      <c r="M1028" s="299"/>
      <c r="N1028" s="299"/>
      <c r="O1028" s="299"/>
      <c r="P1028" s="299"/>
      <c r="Q1028" s="299"/>
      <c r="R1028" s="299"/>
      <c r="S1028" s="299"/>
      <c r="T1028" s="59"/>
      <c r="U1028" s="59"/>
      <c r="V1028" s="59"/>
      <c r="W1028" s="59"/>
      <c r="X1028" s="59"/>
      <c r="Y1028" s="59"/>
      <c r="Z1028" s="59"/>
      <c r="AA1028" s="59"/>
      <c r="AB1028" s="59"/>
      <c r="AC1028" s="59"/>
    </row>
    <row r="1029" ht="15.75" customHeight="1">
      <c r="A1029" s="298"/>
      <c r="B1029" s="299"/>
      <c r="C1029" s="299"/>
      <c r="D1029" s="299"/>
      <c r="E1029" s="300"/>
      <c r="F1029" s="299"/>
      <c r="G1029" s="299"/>
      <c r="H1029" s="301"/>
      <c r="I1029" s="301"/>
      <c r="J1029" s="301"/>
      <c r="K1029" s="301"/>
      <c r="L1029" s="299"/>
      <c r="M1029" s="299"/>
      <c r="N1029" s="299"/>
      <c r="O1029" s="299"/>
      <c r="P1029" s="299"/>
      <c r="Q1029" s="299"/>
      <c r="R1029" s="299"/>
      <c r="S1029" s="299"/>
      <c r="T1029" s="59"/>
      <c r="U1029" s="59"/>
      <c r="V1029" s="59"/>
      <c r="W1029" s="59"/>
      <c r="X1029" s="59"/>
      <c r="Y1029" s="59"/>
      <c r="Z1029" s="59"/>
      <c r="AA1029" s="59"/>
      <c r="AB1029" s="59"/>
      <c r="AC1029" s="59"/>
    </row>
    <row r="1030" ht="15.75" customHeight="1">
      <c r="A1030" s="298"/>
      <c r="B1030" s="299"/>
      <c r="C1030" s="299"/>
      <c r="D1030" s="299"/>
      <c r="E1030" s="300"/>
      <c r="F1030" s="299"/>
      <c r="G1030" s="299"/>
      <c r="H1030" s="301"/>
      <c r="I1030" s="301"/>
      <c r="J1030" s="301"/>
      <c r="K1030" s="301"/>
      <c r="L1030" s="299"/>
      <c r="M1030" s="299"/>
      <c r="N1030" s="299"/>
      <c r="O1030" s="299"/>
      <c r="P1030" s="299"/>
      <c r="Q1030" s="299"/>
      <c r="R1030" s="299"/>
      <c r="S1030" s="299"/>
      <c r="T1030" s="59"/>
      <c r="U1030" s="59"/>
      <c r="V1030" s="59"/>
      <c r="W1030" s="59"/>
      <c r="X1030" s="59"/>
      <c r="Y1030" s="59"/>
      <c r="Z1030" s="59"/>
      <c r="AA1030" s="59"/>
      <c r="AB1030" s="59"/>
      <c r="AC1030" s="59"/>
    </row>
    <row r="1031" ht="15.75" customHeight="1">
      <c r="A1031" s="298"/>
      <c r="B1031" s="299"/>
      <c r="C1031" s="299"/>
      <c r="D1031" s="299"/>
      <c r="E1031" s="300"/>
      <c r="F1031" s="299"/>
      <c r="G1031" s="299"/>
      <c r="H1031" s="301"/>
      <c r="I1031" s="301"/>
      <c r="J1031" s="301"/>
      <c r="K1031" s="301"/>
      <c r="L1031" s="299"/>
      <c r="M1031" s="299"/>
      <c r="N1031" s="299"/>
      <c r="O1031" s="299"/>
      <c r="P1031" s="299"/>
      <c r="Q1031" s="299"/>
      <c r="R1031" s="299"/>
      <c r="S1031" s="299"/>
      <c r="T1031" s="59"/>
      <c r="U1031" s="59"/>
      <c r="V1031" s="59"/>
      <c r="W1031" s="59"/>
      <c r="X1031" s="59"/>
      <c r="Y1031" s="59"/>
      <c r="Z1031" s="59"/>
      <c r="AA1031" s="59"/>
      <c r="AB1031" s="59"/>
      <c r="AC1031" s="59"/>
    </row>
    <row r="1032" ht="15.75" customHeight="1">
      <c r="A1032" s="298"/>
      <c r="B1032" s="299"/>
      <c r="C1032" s="299"/>
      <c r="D1032" s="299"/>
      <c r="E1032" s="300"/>
      <c r="F1032" s="299"/>
      <c r="G1032" s="299"/>
      <c r="H1032" s="301"/>
      <c r="I1032" s="301"/>
      <c r="J1032" s="301"/>
      <c r="K1032" s="301"/>
      <c r="L1032" s="299"/>
      <c r="M1032" s="299"/>
      <c r="N1032" s="299"/>
      <c r="O1032" s="299"/>
      <c r="P1032" s="299"/>
      <c r="Q1032" s="299"/>
      <c r="R1032" s="299"/>
      <c r="S1032" s="299"/>
      <c r="T1032" s="59"/>
      <c r="U1032" s="59"/>
      <c r="V1032" s="59"/>
      <c r="W1032" s="59"/>
      <c r="X1032" s="59"/>
      <c r="Y1032" s="59"/>
      <c r="Z1032" s="59"/>
      <c r="AA1032" s="59"/>
      <c r="AB1032" s="59"/>
      <c r="AC1032" s="59"/>
    </row>
    <row r="1033" ht="15.75" customHeight="1">
      <c r="A1033" s="298"/>
      <c r="B1033" s="299"/>
      <c r="C1033" s="299"/>
      <c r="D1033" s="299"/>
      <c r="E1033" s="300"/>
      <c r="F1033" s="299"/>
      <c r="G1033" s="299"/>
      <c r="H1033" s="301"/>
      <c r="I1033" s="301"/>
      <c r="J1033" s="301"/>
      <c r="K1033" s="301"/>
      <c r="L1033" s="299"/>
      <c r="M1033" s="299"/>
      <c r="N1033" s="299"/>
      <c r="O1033" s="299"/>
      <c r="P1033" s="299"/>
      <c r="Q1033" s="299"/>
      <c r="R1033" s="299"/>
      <c r="S1033" s="299"/>
      <c r="T1033" s="59"/>
      <c r="U1033" s="59"/>
      <c r="V1033" s="59"/>
      <c r="W1033" s="59"/>
      <c r="X1033" s="59"/>
      <c r="Y1033" s="59"/>
      <c r="Z1033" s="59"/>
      <c r="AA1033" s="59"/>
      <c r="AB1033" s="59"/>
      <c r="AC1033" s="59"/>
    </row>
    <row r="1034" ht="15.75" customHeight="1">
      <c r="A1034" s="298"/>
      <c r="B1034" s="299"/>
      <c r="C1034" s="299"/>
      <c r="D1034" s="299"/>
      <c r="E1034" s="300"/>
      <c r="F1034" s="299"/>
      <c r="G1034" s="299"/>
      <c r="H1034" s="301"/>
      <c r="I1034" s="301"/>
      <c r="J1034" s="301"/>
      <c r="K1034" s="301"/>
      <c r="L1034" s="299"/>
      <c r="M1034" s="299"/>
      <c r="N1034" s="299"/>
      <c r="O1034" s="299"/>
      <c r="P1034" s="299"/>
      <c r="Q1034" s="299"/>
      <c r="R1034" s="299"/>
      <c r="S1034" s="299"/>
      <c r="T1034" s="59"/>
      <c r="U1034" s="59"/>
      <c r="V1034" s="59"/>
      <c r="W1034" s="59"/>
      <c r="X1034" s="59"/>
      <c r="Y1034" s="59"/>
      <c r="Z1034" s="59"/>
      <c r="AA1034" s="59"/>
      <c r="AB1034" s="59"/>
      <c r="AC1034" s="59"/>
    </row>
    <row r="1035" ht="15.75" customHeight="1">
      <c r="A1035" s="298"/>
      <c r="B1035" s="299"/>
      <c r="C1035" s="299"/>
      <c r="D1035" s="299"/>
      <c r="E1035" s="300"/>
      <c r="F1035" s="299"/>
      <c r="G1035" s="299"/>
      <c r="H1035" s="301"/>
      <c r="I1035" s="301"/>
      <c r="J1035" s="301"/>
      <c r="K1035" s="301"/>
      <c r="L1035" s="299"/>
      <c r="M1035" s="299"/>
      <c r="N1035" s="299"/>
      <c r="O1035" s="299"/>
      <c r="P1035" s="299"/>
      <c r="Q1035" s="299"/>
      <c r="R1035" s="299"/>
      <c r="S1035" s="299"/>
      <c r="T1035" s="59"/>
      <c r="U1035" s="59"/>
      <c r="V1035" s="59"/>
      <c r="W1035" s="59"/>
      <c r="X1035" s="59"/>
      <c r="Y1035" s="59"/>
      <c r="Z1035" s="59"/>
      <c r="AA1035" s="59"/>
      <c r="AB1035" s="59"/>
      <c r="AC1035" s="59"/>
    </row>
    <row r="1036" ht="15.75" customHeight="1">
      <c r="A1036" s="298"/>
      <c r="B1036" s="299"/>
      <c r="C1036" s="299"/>
      <c r="D1036" s="299"/>
      <c r="E1036" s="300"/>
      <c r="F1036" s="299"/>
      <c r="G1036" s="299"/>
      <c r="H1036" s="301"/>
      <c r="I1036" s="301"/>
      <c r="J1036" s="301"/>
      <c r="K1036" s="301"/>
      <c r="L1036" s="299"/>
      <c r="M1036" s="299"/>
      <c r="N1036" s="299"/>
      <c r="O1036" s="299"/>
      <c r="P1036" s="299"/>
      <c r="Q1036" s="299"/>
      <c r="R1036" s="299"/>
      <c r="S1036" s="299"/>
      <c r="T1036" s="59"/>
      <c r="U1036" s="59"/>
      <c r="V1036" s="59"/>
      <c r="W1036" s="59"/>
      <c r="X1036" s="59"/>
      <c r="Y1036" s="59"/>
      <c r="Z1036" s="59"/>
      <c r="AA1036" s="59"/>
      <c r="AB1036" s="59"/>
      <c r="AC1036" s="59"/>
    </row>
    <row r="1037" ht="15.75" customHeight="1">
      <c r="A1037" s="298"/>
      <c r="B1037" s="299"/>
      <c r="C1037" s="299"/>
      <c r="D1037" s="299"/>
      <c r="E1037" s="300"/>
      <c r="F1037" s="299"/>
      <c r="G1037" s="299"/>
      <c r="H1037" s="301"/>
      <c r="I1037" s="301"/>
      <c r="J1037" s="301"/>
      <c r="K1037" s="301"/>
      <c r="L1037" s="299"/>
      <c r="M1037" s="299"/>
      <c r="N1037" s="299"/>
      <c r="O1037" s="299"/>
      <c r="P1037" s="299"/>
      <c r="Q1037" s="299"/>
      <c r="R1037" s="299"/>
      <c r="S1037" s="299"/>
      <c r="T1037" s="59"/>
      <c r="U1037" s="59"/>
      <c r="V1037" s="59"/>
      <c r="W1037" s="59"/>
      <c r="X1037" s="59"/>
      <c r="Y1037" s="59"/>
      <c r="Z1037" s="59"/>
      <c r="AA1037" s="59"/>
      <c r="AB1037" s="59"/>
      <c r="AC1037" s="59"/>
    </row>
    <row r="1038" ht="15.75" customHeight="1">
      <c r="A1038" s="298"/>
      <c r="B1038" s="299"/>
      <c r="C1038" s="299"/>
      <c r="D1038" s="299"/>
      <c r="E1038" s="300"/>
      <c r="F1038" s="299"/>
      <c r="G1038" s="299"/>
      <c r="H1038" s="301"/>
      <c r="I1038" s="301"/>
      <c r="J1038" s="301"/>
      <c r="K1038" s="301"/>
      <c r="L1038" s="299"/>
      <c r="M1038" s="299"/>
      <c r="N1038" s="299"/>
      <c r="O1038" s="299"/>
      <c r="P1038" s="299"/>
      <c r="Q1038" s="299"/>
      <c r="R1038" s="299"/>
      <c r="S1038" s="299"/>
      <c r="T1038" s="59"/>
      <c r="U1038" s="59"/>
      <c r="V1038" s="59"/>
      <c r="W1038" s="59"/>
      <c r="X1038" s="59"/>
      <c r="Y1038" s="59"/>
      <c r="Z1038" s="59"/>
      <c r="AA1038" s="59"/>
      <c r="AB1038" s="59"/>
      <c r="AC1038" s="59"/>
    </row>
    <row r="1039" ht="15.75" customHeight="1">
      <c r="A1039" s="298"/>
      <c r="B1039" s="299"/>
      <c r="C1039" s="299"/>
      <c r="D1039" s="299"/>
      <c r="E1039" s="300"/>
      <c r="F1039" s="299"/>
      <c r="G1039" s="299"/>
      <c r="H1039" s="301"/>
      <c r="I1039" s="301"/>
      <c r="J1039" s="301"/>
      <c r="K1039" s="301"/>
      <c r="L1039" s="299"/>
      <c r="M1039" s="299"/>
      <c r="N1039" s="299"/>
      <c r="O1039" s="299"/>
      <c r="P1039" s="299"/>
      <c r="Q1039" s="299"/>
      <c r="R1039" s="299"/>
      <c r="S1039" s="299"/>
      <c r="T1039" s="59"/>
      <c r="U1039" s="59"/>
      <c r="V1039" s="59"/>
      <c r="W1039" s="59"/>
      <c r="X1039" s="59"/>
      <c r="Y1039" s="59"/>
      <c r="Z1039" s="59"/>
      <c r="AA1039" s="59"/>
      <c r="AB1039" s="59"/>
      <c r="AC1039" s="59"/>
    </row>
    <row r="1040" ht="15.75" customHeight="1">
      <c r="A1040" s="298"/>
      <c r="B1040" s="299"/>
      <c r="C1040" s="299"/>
      <c r="D1040" s="299"/>
      <c r="E1040" s="300"/>
      <c r="F1040" s="299"/>
      <c r="G1040" s="299"/>
      <c r="H1040" s="301"/>
      <c r="I1040" s="301"/>
      <c r="J1040" s="301"/>
      <c r="K1040" s="301"/>
      <c r="L1040" s="299"/>
      <c r="M1040" s="299"/>
      <c r="N1040" s="299"/>
      <c r="O1040" s="299"/>
      <c r="P1040" s="299"/>
      <c r="Q1040" s="299"/>
      <c r="R1040" s="299"/>
      <c r="S1040" s="299"/>
      <c r="T1040" s="59"/>
      <c r="U1040" s="59"/>
      <c r="V1040" s="59"/>
      <c r="W1040" s="59"/>
      <c r="X1040" s="59"/>
      <c r="Y1040" s="59"/>
      <c r="Z1040" s="59"/>
      <c r="AA1040" s="59"/>
      <c r="AB1040" s="59"/>
      <c r="AC1040" s="59"/>
    </row>
    <row r="1041" ht="15.75" customHeight="1">
      <c r="A1041" s="298"/>
      <c r="B1041" s="299"/>
      <c r="C1041" s="299"/>
      <c r="D1041" s="299"/>
      <c r="E1041" s="300"/>
      <c r="F1041" s="299"/>
      <c r="G1041" s="299"/>
      <c r="H1041" s="301"/>
      <c r="I1041" s="301"/>
      <c r="J1041" s="301"/>
      <c r="K1041" s="301"/>
      <c r="L1041" s="299"/>
      <c r="M1041" s="299"/>
      <c r="N1041" s="299"/>
      <c r="O1041" s="299"/>
      <c r="P1041" s="299"/>
      <c r="Q1041" s="299"/>
      <c r="R1041" s="299"/>
      <c r="S1041" s="299"/>
      <c r="T1041" s="59"/>
      <c r="U1041" s="59"/>
      <c r="V1041" s="59"/>
      <c r="W1041" s="59"/>
      <c r="X1041" s="59"/>
      <c r="Y1041" s="59"/>
      <c r="Z1041" s="59"/>
      <c r="AA1041" s="59"/>
      <c r="AB1041" s="59"/>
      <c r="AC1041" s="59"/>
    </row>
    <row r="1042" ht="15.75" customHeight="1">
      <c r="A1042" s="298"/>
      <c r="B1042" s="299"/>
      <c r="C1042" s="299"/>
      <c r="D1042" s="299"/>
      <c r="E1042" s="300"/>
      <c r="F1042" s="299"/>
      <c r="G1042" s="299"/>
      <c r="H1042" s="301"/>
      <c r="I1042" s="301"/>
      <c r="J1042" s="301"/>
      <c r="K1042" s="301"/>
      <c r="L1042" s="299"/>
      <c r="M1042" s="299"/>
      <c r="N1042" s="299"/>
      <c r="O1042" s="299"/>
      <c r="P1042" s="299"/>
      <c r="Q1042" s="299"/>
      <c r="R1042" s="299"/>
      <c r="S1042" s="299"/>
      <c r="T1042" s="59"/>
      <c r="U1042" s="59"/>
      <c r="V1042" s="59"/>
      <c r="W1042" s="59"/>
      <c r="X1042" s="59"/>
      <c r="Y1042" s="59"/>
      <c r="Z1042" s="59"/>
      <c r="AA1042" s="59"/>
      <c r="AB1042" s="59"/>
      <c r="AC1042" s="59"/>
    </row>
    <row r="1043" ht="15.75" customHeight="1">
      <c r="A1043" s="298"/>
      <c r="B1043" s="299"/>
      <c r="C1043" s="299"/>
      <c r="D1043" s="299"/>
      <c r="E1043" s="300"/>
      <c r="F1043" s="299"/>
      <c r="G1043" s="299"/>
      <c r="H1043" s="301"/>
      <c r="I1043" s="301"/>
      <c r="J1043" s="301"/>
      <c r="K1043" s="301"/>
      <c r="L1043" s="299"/>
      <c r="M1043" s="299"/>
      <c r="N1043" s="299"/>
      <c r="O1043" s="299"/>
      <c r="P1043" s="299"/>
      <c r="Q1043" s="299"/>
      <c r="R1043" s="299"/>
      <c r="S1043" s="299"/>
      <c r="T1043" s="59"/>
      <c r="U1043" s="59"/>
      <c r="V1043" s="59"/>
      <c r="W1043" s="59"/>
      <c r="X1043" s="59"/>
      <c r="Y1043" s="59"/>
      <c r="Z1043" s="59"/>
      <c r="AA1043" s="59"/>
      <c r="AB1043" s="59"/>
      <c r="AC1043" s="59"/>
    </row>
    <row r="1044" ht="15.75" customHeight="1">
      <c r="A1044" s="298"/>
      <c r="B1044" s="299"/>
      <c r="C1044" s="299"/>
      <c r="D1044" s="299"/>
      <c r="E1044" s="300"/>
      <c r="F1044" s="299"/>
      <c r="G1044" s="299"/>
      <c r="H1044" s="301"/>
      <c r="I1044" s="301"/>
      <c r="J1044" s="301"/>
      <c r="K1044" s="301"/>
      <c r="L1044" s="299"/>
      <c r="M1044" s="299"/>
      <c r="N1044" s="299"/>
      <c r="O1044" s="299"/>
      <c r="P1044" s="299"/>
      <c r="Q1044" s="299"/>
      <c r="R1044" s="299"/>
      <c r="S1044" s="299"/>
      <c r="T1044" s="59"/>
      <c r="U1044" s="59"/>
      <c r="V1044" s="59"/>
      <c r="W1044" s="59"/>
      <c r="X1044" s="59"/>
      <c r="Y1044" s="59"/>
      <c r="Z1044" s="59"/>
      <c r="AA1044" s="59"/>
      <c r="AB1044" s="59"/>
      <c r="AC1044" s="59"/>
    </row>
    <row r="1045" ht="15.75" customHeight="1">
      <c r="A1045" s="298"/>
      <c r="B1045" s="299"/>
      <c r="C1045" s="299"/>
      <c r="D1045" s="299"/>
      <c r="E1045" s="300"/>
      <c r="F1045" s="299"/>
      <c r="G1045" s="299"/>
      <c r="H1045" s="301"/>
      <c r="I1045" s="301"/>
      <c r="J1045" s="301"/>
      <c r="K1045" s="301"/>
      <c r="L1045" s="299"/>
      <c r="M1045" s="299"/>
      <c r="N1045" s="299"/>
      <c r="O1045" s="299"/>
      <c r="P1045" s="299"/>
      <c r="Q1045" s="299"/>
      <c r="R1045" s="299"/>
      <c r="S1045" s="299"/>
      <c r="T1045" s="59"/>
      <c r="U1045" s="59"/>
      <c r="V1045" s="59"/>
      <c r="W1045" s="59"/>
      <c r="X1045" s="59"/>
      <c r="Y1045" s="59"/>
      <c r="Z1045" s="59"/>
      <c r="AA1045" s="59"/>
      <c r="AB1045" s="59"/>
      <c r="AC1045" s="59"/>
    </row>
    <row r="1046" ht="15.75" customHeight="1">
      <c r="A1046" s="298"/>
      <c r="B1046" s="299"/>
      <c r="C1046" s="299"/>
      <c r="D1046" s="299"/>
      <c r="E1046" s="300"/>
      <c r="F1046" s="299"/>
      <c r="G1046" s="299"/>
      <c r="H1046" s="301"/>
      <c r="I1046" s="301"/>
      <c r="J1046" s="301"/>
      <c r="K1046" s="301"/>
      <c r="L1046" s="299"/>
      <c r="M1046" s="299"/>
      <c r="N1046" s="299"/>
      <c r="O1046" s="299"/>
      <c r="P1046" s="299"/>
      <c r="Q1046" s="299"/>
      <c r="R1046" s="299"/>
      <c r="S1046" s="299"/>
      <c r="T1046" s="59"/>
      <c r="U1046" s="59"/>
      <c r="V1046" s="59"/>
      <c r="W1046" s="59"/>
      <c r="X1046" s="59"/>
      <c r="Y1046" s="59"/>
      <c r="Z1046" s="59"/>
      <c r="AA1046" s="59"/>
      <c r="AB1046" s="59"/>
      <c r="AC1046" s="59"/>
    </row>
    <row r="1047" ht="15.75" customHeight="1">
      <c r="A1047" s="298"/>
      <c r="B1047" s="299"/>
      <c r="C1047" s="299"/>
      <c r="D1047" s="299"/>
      <c r="E1047" s="300"/>
      <c r="F1047" s="299"/>
      <c r="G1047" s="299"/>
      <c r="H1047" s="301"/>
      <c r="I1047" s="301"/>
      <c r="J1047" s="301"/>
      <c r="K1047" s="301"/>
      <c r="L1047" s="299"/>
      <c r="M1047" s="299"/>
      <c r="N1047" s="299"/>
      <c r="O1047" s="299"/>
      <c r="P1047" s="299"/>
      <c r="Q1047" s="299"/>
      <c r="R1047" s="299"/>
      <c r="S1047" s="299"/>
      <c r="T1047" s="59"/>
      <c r="U1047" s="59"/>
      <c r="V1047" s="59"/>
      <c r="W1047" s="59"/>
      <c r="X1047" s="59"/>
      <c r="Y1047" s="59"/>
      <c r="Z1047" s="59"/>
      <c r="AA1047" s="59"/>
      <c r="AB1047" s="59"/>
      <c r="AC1047" s="59"/>
    </row>
    <row r="1048" ht="15.75" customHeight="1">
      <c r="A1048" s="298"/>
      <c r="B1048" s="299"/>
      <c r="C1048" s="299"/>
      <c r="D1048" s="299"/>
      <c r="E1048" s="300"/>
      <c r="F1048" s="299"/>
      <c r="G1048" s="299"/>
      <c r="H1048" s="301"/>
      <c r="I1048" s="301"/>
      <c r="J1048" s="301"/>
      <c r="K1048" s="301"/>
      <c r="L1048" s="299"/>
      <c r="M1048" s="299"/>
      <c r="N1048" s="299"/>
      <c r="O1048" s="299"/>
      <c r="P1048" s="299"/>
      <c r="Q1048" s="299"/>
      <c r="R1048" s="299"/>
      <c r="S1048" s="299"/>
      <c r="T1048" s="59"/>
      <c r="U1048" s="59"/>
      <c r="V1048" s="59"/>
      <c r="W1048" s="59"/>
      <c r="X1048" s="59"/>
      <c r="Y1048" s="59"/>
      <c r="Z1048" s="59"/>
      <c r="AA1048" s="59"/>
      <c r="AB1048" s="59"/>
      <c r="AC1048" s="59"/>
    </row>
    <row r="1049" ht="15.75" customHeight="1">
      <c r="A1049" s="298"/>
      <c r="B1049" s="299"/>
      <c r="C1049" s="299"/>
      <c r="D1049" s="299"/>
      <c r="E1049" s="300"/>
      <c r="F1049" s="299"/>
      <c r="G1049" s="299"/>
      <c r="H1049" s="301"/>
      <c r="I1049" s="301"/>
      <c r="J1049" s="301"/>
      <c r="K1049" s="301"/>
      <c r="L1049" s="299"/>
      <c r="M1049" s="299"/>
      <c r="N1049" s="299"/>
      <c r="O1049" s="299"/>
      <c r="P1049" s="299"/>
      <c r="Q1049" s="299"/>
      <c r="R1049" s="299"/>
      <c r="S1049" s="299"/>
      <c r="T1049" s="59"/>
      <c r="U1049" s="59"/>
      <c r="V1049" s="59"/>
      <c r="W1049" s="59"/>
      <c r="X1049" s="59"/>
      <c r="Y1049" s="59"/>
      <c r="Z1049" s="59"/>
      <c r="AA1049" s="59"/>
      <c r="AB1049" s="59"/>
      <c r="AC1049" s="59"/>
    </row>
    <row r="1050" ht="15.75" customHeight="1">
      <c r="A1050" s="298"/>
      <c r="B1050" s="299"/>
      <c r="C1050" s="299"/>
      <c r="D1050" s="299"/>
      <c r="E1050" s="300"/>
      <c r="F1050" s="299"/>
      <c r="G1050" s="299"/>
      <c r="H1050" s="301"/>
      <c r="I1050" s="301"/>
      <c r="J1050" s="301"/>
      <c r="K1050" s="301"/>
      <c r="L1050" s="299"/>
      <c r="M1050" s="299"/>
      <c r="N1050" s="299"/>
      <c r="O1050" s="299"/>
      <c r="P1050" s="299"/>
      <c r="Q1050" s="299"/>
      <c r="R1050" s="299"/>
      <c r="S1050" s="299"/>
      <c r="T1050" s="59"/>
      <c r="U1050" s="59"/>
      <c r="V1050" s="59"/>
      <c r="W1050" s="59"/>
      <c r="X1050" s="59"/>
      <c r="Y1050" s="59"/>
      <c r="Z1050" s="59"/>
      <c r="AA1050" s="59"/>
      <c r="AB1050" s="59"/>
      <c r="AC1050" s="59"/>
    </row>
    <row r="1051" ht="15.75" customHeight="1">
      <c r="A1051" s="298"/>
      <c r="B1051" s="299"/>
      <c r="C1051" s="299"/>
      <c r="D1051" s="299"/>
      <c r="E1051" s="300"/>
      <c r="F1051" s="299"/>
      <c r="G1051" s="299"/>
      <c r="H1051" s="301"/>
      <c r="I1051" s="301"/>
      <c r="J1051" s="301"/>
      <c r="K1051" s="301"/>
      <c r="L1051" s="299"/>
      <c r="M1051" s="299"/>
      <c r="N1051" s="299"/>
      <c r="O1051" s="299"/>
      <c r="P1051" s="299"/>
      <c r="Q1051" s="299"/>
      <c r="R1051" s="299"/>
      <c r="S1051" s="299"/>
      <c r="T1051" s="59"/>
      <c r="U1051" s="59"/>
      <c r="V1051" s="59"/>
      <c r="W1051" s="59"/>
      <c r="X1051" s="59"/>
      <c r="Y1051" s="59"/>
      <c r="Z1051" s="59"/>
      <c r="AA1051" s="59"/>
      <c r="AB1051" s="59"/>
      <c r="AC1051" s="59"/>
    </row>
    <row r="1052" ht="15.75" customHeight="1">
      <c r="A1052" s="298"/>
      <c r="B1052" s="299"/>
      <c r="C1052" s="299"/>
      <c r="D1052" s="299"/>
      <c r="E1052" s="300"/>
      <c r="F1052" s="299"/>
      <c r="G1052" s="299"/>
      <c r="H1052" s="301"/>
      <c r="I1052" s="301"/>
      <c r="J1052" s="301"/>
      <c r="K1052" s="301"/>
      <c r="L1052" s="299"/>
      <c r="M1052" s="299"/>
      <c r="N1052" s="299"/>
      <c r="O1052" s="299"/>
      <c r="P1052" s="299"/>
      <c r="Q1052" s="299"/>
      <c r="R1052" s="299"/>
      <c r="S1052" s="299"/>
      <c r="T1052" s="59"/>
      <c r="U1052" s="59"/>
      <c r="V1052" s="59"/>
      <c r="W1052" s="59"/>
      <c r="X1052" s="59"/>
      <c r="Y1052" s="59"/>
      <c r="Z1052" s="59"/>
      <c r="AA1052" s="59"/>
      <c r="AB1052" s="59"/>
      <c r="AC1052" s="59"/>
    </row>
    <row r="1053" ht="15.75" customHeight="1">
      <c r="A1053" s="298"/>
      <c r="B1053" s="299"/>
      <c r="C1053" s="299"/>
      <c r="D1053" s="299"/>
      <c r="E1053" s="300"/>
      <c r="F1053" s="299"/>
      <c r="G1053" s="299"/>
      <c r="H1053" s="301"/>
      <c r="I1053" s="301"/>
      <c r="J1053" s="301"/>
      <c r="K1053" s="301"/>
      <c r="L1053" s="299"/>
      <c r="M1053" s="299"/>
      <c r="N1053" s="299"/>
      <c r="O1053" s="299"/>
      <c r="P1053" s="299"/>
      <c r="Q1053" s="299"/>
      <c r="R1053" s="299"/>
      <c r="S1053" s="299"/>
      <c r="T1053" s="59"/>
      <c r="U1053" s="59"/>
      <c r="V1053" s="59"/>
      <c r="W1053" s="59"/>
      <c r="X1053" s="59"/>
      <c r="Y1053" s="59"/>
      <c r="Z1053" s="59"/>
      <c r="AA1053" s="59"/>
      <c r="AB1053" s="59"/>
      <c r="AC1053" s="59"/>
    </row>
    <row r="1054" ht="15.75" customHeight="1">
      <c r="A1054" s="298"/>
      <c r="B1054" s="299"/>
      <c r="C1054" s="299"/>
      <c r="D1054" s="299"/>
      <c r="E1054" s="300"/>
      <c r="F1054" s="299"/>
      <c r="G1054" s="299"/>
      <c r="H1054" s="301"/>
      <c r="I1054" s="301"/>
      <c r="J1054" s="301"/>
      <c r="K1054" s="301"/>
      <c r="L1054" s="299"/>
      <c r="M1054" s="299"/>
      <c r="N1054" s="299"/>
      <c r="O1054" s="299"/>
      <c r="P1054" s="299"/>
      <c r="Q1054" s="299"/>
      <c r="R1054" s="299"/>
      <c r="S1054" s="299"/>
      <c r="T1054" s="59"/>
      <c r="U1054" s="59"/>
      <c r="V1054" s="59"/>
      <c r="W1054" s="59"/>
      <c r="X1054" s="59"/>
      <c r="Y1054" s="59"/>
      <c r="Z1054" s="59"/>
      <c r="AA1054" s="59"/>
      <c r="AB1054" s="59"/>
      <c r="AC1054" s="59"/>
    </row>
    <row r="1055" ht="15.75" customHeight="1">
      <c r="A1055" s="298"/>
      <c r="B1055" s="299"/>
      <c r="C1055" s="299"/>
      <c r="D1055" s="299"/>
      <c r="E1055" s="300"/>
      <c r="F1055" s="299"/>
      <c r="G1055" s="299"/>
      <c r="H1055" s="301"/>
      <c r="I1055" s="301"/>
      <c r="J1055" s="301"/>
      <c r="K1055" s="301"/>
      <c r="L1055" s="299"/>
      <c r="M1055" s="299"/>
      <c r="N1055" s="299"/>
      <c r="O1055" s="299"/>
      <c r="P1055" s="299"/>
      <c r="Q1055" s="299"/>
      <c r="R1055" s="299"/>
      <c r="S1055" s="299"/>
      <c r="T1055" s="59"/>
      <c r="U1055" s="59"/>
      <c r="V1055" s="59"/>
      <c r="W1055" s="59"/>
      <c r="X1055" s="59"/>
      <c r="Y1055" s="59"/>
      <c r="Z1055" s="59"/>
      <c r="AA1055" s="59"/>
      <c r="AB1055" s="59"/>
      <c r="AC1055" s="59"/>
    </row>
    <row r="1056" ht="15.75" customHeight="1">
      <c r="A1056" s="298"/>
      <c r="B1056" s="299"/>
      <c r="C1056" s="299"/>
      <c r="D1056" s="299"/>
      <c r="E1056" s="300"/>
      <c r="F1056" s="299"/>
      <c r="G1056" s="299"/>
      <c r="H1056" s="301"/>
      <c r="I1056" s="301"/>
      <c r="J1056" s="301"/>
      <c r="K1056" s="301"/>
      <c r="L1056" s="299"/>
      <c r="M1056" s="299"/>
      <c r="N1056" s="299"/>
      <c r="O1056" s="299"/>
      <c r="P1056" s="299"/>
      <c r="Q1056" s="299"/>
      <c r="R1056" s="299"/>
      <c r="S1056" s="299"/>
      <c r="T1056" s="59"/>
      <c r="U1056" s="59"/>
      <c r="V1056" s="59"/>
      <c r="W1056" s="59"/>
      <c r="X1056" s="59"/>
      <c r="Y1056" s="59"/>
      <c r="Z1056" s="59"/>
      <c r="AA1056" s="59"/>
      <c r="AB1056" s="59"/>
      <c r="AC1056" s="59"/>
    </row>
    <row r="1057" ht="15.75" customHeight="1">
      <c r="A1057" s="298"/>
      <c r="B1057" s="299"/>
      <c r="C1057" s="299"/>
      <c r="D1057" s="299"/>
      <c r="E1057" s="300"/>
      <c r="F1057" s="299"/>
      <c r="G1057" s="299"/>
      <c r="H1057" s="301"/>
      <c r="I1057" s="301"/>
      <c r="J1057" s="301"/>
      <c r="K1057" s="301"/>
      <c r="L1057" s="299"/>
      <c r="M1057" s="299"/>
      <c r="N1057" s="299"/>
      <c r="O1057" s="299"/>
      <c r="P1057" s="299"/>
      <c r="Q1057" s="299"/>
      <c r="R1057" s="299"/>
      <c r="S1057" s="299"/>
      <c r="T1057" s="59"/>
      <c r="U1057" s="59"/>
      <c r="V1057" s="59"/>
      <c r="W1057" s="59"/>
      <c r="X1057" s="59"/>
      <c r="Y1057" s="59"/>
      <c r="Z1057" s="59"/>
      <c r="AA1057" s="59"/>
      <c r="AB1057" s="59"/>
      <c r="AC1057" s="59"/>
    </row>
    <row r="1058" ht="15.75" customHeight="1">
      <c r="A1058" s="298"/>
      <c r="B1058" s="299"/>
      <c r="C1058" s="299"/>
      <c r="D1058" s="299"/>
      <c r="E1058" s="300"/>
      <c r="F1058" s="299"/>
      <c r="G1058" s="299"/>
      <c r="H1058" s="301"/>
      <c r="I1058" s="301"/>
      <c r="J1058" s="301"/>
      <c r="K1058" s="301"/>
      <c r="L1058" s="299"/>
      <c r="M1058" s="299"/>
      <c r="N1058" s="299"/>
      <c r="O1058" s="299"/>
      <c r="P1058" s="299"/>
      <c r="Q1058" s="299"/>
      <c r="R1058" s="299"/>
      <c r="S1058" s="299"/>
      <c r="T1058" s="59"/>
      <c r="U1058" s="59"/>
      <c r="V1058" s="59"/>
      <c r="W1058" s="59"/>
      <c r="X1058" s="59"/>
      <c r="Y1058" s="59"/>
      <c r="Z1058" s="59"/>
      <c r="AA1058" s="59"/>
      <c r="AB1058" s="59"/>
      <c r="AC1058" s="59"/>
    </row>
    <row r="1059" ht="15.75" customHeight="1">
      <c r="A1059" s="298"/>
      <c r="B1059" s="299"/>
      <c r="C1059" s="299"/>
      <c r="D1059" s="299"/>
      <c r="E1059" s="300"/>
      <c r="F1059" s="299"/>
      <c r="G1059" s="299"/>
      <c r="H1059" s="301"/>
      <c r="I1059" s="301"/>
      <c r="J1059" s="301"/>
      <c r="K1059" s="301"/>
      <c r="L1059" s="299"/>
      <c r="M1059" s="299"/>
      <c r="N1059" s="299"/>
      <c r="O1059" s="299"/>
      <c r="P1059" s="299"/>
      <c r="Q1059" s="299"/>
      <c r="R1059" s="299"/>
      <c r="S1059" s="299"/>
      <c r="T1059" s="59"/>
      <c r="U1059" s="59"/>
      <c r="V1059" s="59"/>
      <c r="W1059" s="59"/>
      <c r="X1059" s="59"/>
      <c r="Y1059" s="59"/>
      <c r="Z1059" s="59"/>
      <c r="AA1059" s="59"/>
      <c r="AB1059" s="59"/>
      <c r="AC1059" s="59"/>
    </row>
    <row r="1060" ht="15.75" customHeight="1">
      <c r="A1060" s="298"/>
      <c r="B1060" s="299"/>
      <c r="C1060" s="299"/>
      <c r="D1060" s="299"/>
      <c r="E1060" s="300"/>
      <c r="F1060" s="299"/>
      <c r="G1060" s="299"/>
      <c r="H1060" s="301"/>
      <c r="I1060" s="301"/>
      <c r="J1060" s="301"/>
      <c r="K1060" s="301"/>
      <c r="L1060" s="299"/>
      <c r="M1060" s="299"/>
      <c r="N1060" s="299"/>
      <c r="O1060" s="299"/>
      <c r="P1060" s="299"/>
      <c r="Q1060" s="299"/>
      <c r="R1060" s="299"/>
      <c r="S1060" s="299"/>
      <c r="T1060" s="59"/>
      <c r="U1060" s="59"/>
      <c r="V1060" s="59"/>
      <c r="W1060" s="59"/>
      <c r="X1060" s="59"/>
      <c r="Y1060" s="59"/>
      <c r="Z1060" s="59"/>
      <c r="AA1060" s="59"/>
      <c r="AB1060" s="59"/>
      <c r="AC1060" s="59"/>
    </row>
    <row r="1061" ht="15.75" customHeight="1">
      <c r="A1061" s="298"/>
      <c r="B1061" s="299"/>
      <c r="C1061" s="299"/>
      <c r="D1061" s="299"/>
      <c r="E1061" s="300"/>
      <c r="F1061" s="299"/>
      <c r="G1061" s="299"/>
      <c r="H1061" s="301"/>
      <c r="I1061" s="301"/>
      <c r="J1061" s="301"/>
      <c r="K1061" s="301"/>
      <c r="L1061" s="299"/>
      <c r="M1061" s="299"/>
      <c r="N1061" s="299"/>
      <c r="O1061" s="299"/>
      <c r="P1061" s="299"/>
      <c r="Q1061" s="299"/>
      <c r="R1061" s="299"/>
      <c r="S1061" s="299"/>
      <c r="T1061" s="59"/>
      <c r="U1061" s="59"/>
      <c r="V1061" s="59"/>
      <c r="W1061" s="59"/>
      <c r="X1061" s="59"/>
      <c r="Y1061" s="59"/>
      <c r="Z1061" s="59"/>
      <c r="AA1061" s="59"/>
      <c r="AB1061" s="59"/>
      <c r="AC1061" s="59"/>
    </row>
    <row r="1062" ht="15.75" customHeight="1">
      <c r="A1062" s="298"/>
      <c r="B1062" s="299"/>
      <c r="C1062" s="299"/>
      <c r="D1062" s="299"/>
      <c r="E1062" s="300"/>
      <c r="F1062" s="299"/>
      <c r="G1062" s="299"/>
      <c r="H1062" s="301"/>
      <c r="I1062" s="301"/>
      <c r="J1062" s="301"/>
      <c r="K1062" s="301"/>
      <c r="L1062" s="299"/>
      <c r="M1062" s="299"/>
      <c r="N1062" s="299"/>
      <c r="O1062" s="299"/>
      <c r="P1062" s="299"/>
      <c r="Q1062" s="299"/>
      <c r="R1062" s="299"/>
      <c r="S1062" s="299"/>
      <c r="T1062" s="59"/>
      <c r="U1062" s="59"/>
      <c r="V1062" s="59"/>
      <c r="W1062" s="59"/>
      <c r="X1062" s="59"/>
      <c r="Y1062" s="59"/>
      <c r="Z1062" s="59"/>
      <c r="AA1062" s="59"/>
      <c r="AB1062" s="59"/>
      <c r="AC1062" s="59"/>
    </row>
    <row r="1063" ht="15.75" customHeight="1">
      <c r="A1063" s="298"/>
      <c r="B1063" s="299"/>
      <c r="C1063" s="299"/>
      <c r="D1063" s="299"/>
      <c r="E1063" s="300"/>
      <c r="F1063" s="299"/>
      <c r="G1063" s="299"/>
      <c r="H1063" s="301"/>
      <c r="I1063" s="301"/>
      <c r="J1063" s="301"/>
      <c r="K1063" s="301"/>
      <c r="L1063" s="299"/>
      <c r="M1063" s="299"/>
      <c r="N1063" s="299"/>
      <c r="O1063" s="299"/>
      <c r="P1063" s="299"/>
      <c r="Q1063" s="299"/>
      <c r="R1063" s="299"/>
      <c r="S1063" s="299"/>
      <c r="T1063" s="59"/>
      <c r="U1063" s="59"/>
      <c r="V1063" s="59"/>
      <c r="W1063" s="59"/>
      <c r="X1063" s="59"/>
      <c r="Y1063" s="59"/>
      <c r="Z1063" s="59"/>
      <c r="AA1063" s="59"/>
      <c r="AB1063" s="59"/>
      <c r="AC1063" s="59"/>
    </row>
    <row r="1064" ht="15.75" customHeight="1">
      <c r="A1064" s="298"/>
      <c r="B1064" s="299"/>
      <c r="C1064" s="299"/>
      <c r="D1064" s="299"/>
      <c r="E1064" s="300"/>
      <c r="F1064" s="299"/>
      <c r="G1064" s="299"/>
      <c r="H1064" s="301"/>
      <c r="I1064" s="301"/>
      <c r="J1064" s="301"/>
      <c r="K1064" s="301"/>
      <c r="L1064" s="299"/>
      <c r="M1064" s="299"/>
      <c r="N1064" s="299"/>
      <c r="O1064" s="299"/>
      <c r="P1064" s="299"/>
      <c r="Q1064" s="299"/>
      <c r="R1064" s="299"/>
      <c r="S1064" s="299"/>
      <c r="T1064" s="59"/>
      <c r="U1064" s="59"/>
      <c r="V1064" s="59"/>
      <c r="W1064" s="59"/>
      <c r="X1064" s="59"/>
      <c r="Y1064" s="59"/>
      <c r="Z1064" s="59"/>
      <c r="AA1064" s="59"/>
      <c r="AB1064" s="59"/>
      <c r="AC1064" s="59"/>
    </row>
    <row r="1065" ht="15.75" customHeight="1">
      <c r="A1065" s="298"/>
      <c r="B1065" s="299"/>
      <c r="C1065" s="299"/>
      <c r="D1065" s="299"/>
      <c r="E1065" s="300"/>
      <c r="F1065" s="299"/>
      <c r="G1065" s="299"/>
      <c r="H1065" s="301"/>
      <c r="I1065" s="301"/>
      <c r="J1065" s="301"/>
      <c r="K1065" s="301"/>
      <c r="L1065" s="299"/>
      <c r="M1065" s="299"/>
      <c r="N1065" s="299"/>
      <c r="O1065" s="299"/>
      <c r="P1065" s="299"/>
      <c r="Q1065" s="299"/>
      <c r="R1065" s="299"/>
      <c r="S1065" s="299"/>
      <c r="T1065" s="59"/>
      <c r="U1065" s="59"/>
      <c r="V1065" s="59"/>
      <c r="W1065" s="59"/>
      <c r="X1065" s="59"/>
      <c r="Y1065" s="59"/>
      <c r="Z1065" s="59"/>
      <c r="AA1065" s="59"/>
      <c r="AB1065" s="59"/>
      <c r="AC1065" s="59"/>
    </row>
    <row r="1066" ht="15.75" customHeight="1">
      <c r="A1066" s="298"/>
      <c r="B1066" s="299"/>
      <c r="C1066" s="299"/>
      <c r="D1066" s="299"/>
      <c r="E1066" s="300"/>
      <c r="F1066" s="299"/>
      <c r="G1066" s="299"/>
      <c r="H1066" s="301"/>
      <c r="I1066" s="301"/>
      <c r="J1066" s="301"/>
      <c r="K1066" s="301"/>
      <c r="L1066" s="299"/>
      <c r="M1066" s="299"/>
      <c r="N1066" s="299"/>
      <c r="O1066" s="299"/>
      <c r="P1066" s="299"/>
      <c r="Q1066" s="299"/>
      <c r="R1066" s="299"/>
      <c r="S1066" s="299"/>
      <c r="T1066" s="59"/>
      <c r="U1066" s="59"/>
      <c r="V1066" s="59"/>
      <c r="W1066" s="59"/>
      <c r="X1066" s="59"/>
      <c r="Y1066" s="59"/>
      <c r="Z1066" s="59"/>
      <c r="AA1066" s="59"/>
      <c r="AB1066" s="59"/>
      <c r="AC1066" s="59"/>
    </row>
    <row r="1067" ht="15.75" customHeight="1">
      <c r="A1067" s="298"/>
      <c r="B1067" s="299"/>
      <c r="C1067" s="299"/>
      <c r="D1067" s="299"/>
      <c r="E1067" s="300"/>
      <c r="F1067" s="299"/>
      <c r="G1067" s="299"/>
      <c r="H1067" s="301"/>
      <c r="I1067" s="301"/>
      <c r="J1067" s="301"/>
      <c r="K1067" s="301"/>
      <c r="L1067" s="299"/>
      <c r="M1067" s="299"/>
      <c r="N1067" s="299"/>
      <c r="O1067" s="299"/>
      <c r="P1067" s="299"/>
      <c r="Q1067" s="299"/>
      <c r="R1067" s="299"/>
      <c r="S1067" s="299"/>
      <c r="T1067" s="59"/>
      <c r="U1067" s="59"/>
      <c r="V1067" s="59"/>
      <c r="W1067" s="59"/>
      <c r="X1067" s="59"/>
      <c r="Y1067" s="59"/>
      <c r="Z1067" s="59"/>
      <c r="AA1067" s="59"/>
      <c r="AB1067" s="59"/>
      <c r="AC1067" s="59"/>
    </row>
    <row r="1068" ht="15.75" customHeight="1">
      <c r="A1068" s="298"/>
      <c r="B1068" s="299"/>
      <c r="C1068" s="299"/>
      <c r="D1068" s="299"/>
      <c r="E1068" s="300"/>
      <c r="F1068" s="299"/>
      <c r="G1068" s="299"/>
      <c r="H1068" s="301"/>
      <c r="I1068" s="301"/>
      <c r="J1068" s="301"/>
      <c r="K1068" s="301"/>
      <c r="L1068" s="299"/>
      <c r="M1068" s="299"/>
      <c r="N1068" s="299"/>
      <c r="O1068" s="299"/>
      <c r="P1068" s="299"/>
      <c r="Q1068" s="299"/>
      <c r="R1068" s="299"/>
      <c r="S1068" s="299"/>
      <c r="T1068" s="59"/>
      <c r="U1068" s="59"/>
      <c r="V1068" s="59"/>
      <c r="W1068" s="59"/>
      <c r="X1068" s="59"/>
      <c r="Y1068" s="59"/>
      <c r="Z1068" s="59"/>
      <c r="AA1068" s="59"/>
      <c r="AB1068" s="59"/>
      <c r="AC1068" s="59"/>
    </row>
    <row r="1069" ht="15.75" customHeight="1">
      <c r="A1069" s="298"/>
      <c r="B1069" s="299"/>
      <c r="C1069" s="299"/>
      <c r="D1069" s="299"/>
      <c r="E1069" s="300"/>
      <c r="F1069" s="299"/>
      <c r="G1069" s="299"/>
      <c r="H1069" s="301"/>
      <c r="I1069" s="301"/>
      <c r="J1069" s="301"/>
      <c r="K1069" s="301"/>
      <c r="L1069" s="299"/>
      <c r="M1069" s="299"/>
      <c r="N1069" s="299"/>
      <c r="O1069" s="299"/>
      <c r="P1069" s="299"/>
      <c r="Q1069" s="299"/>
      <c r="R1069" s="299"/>
      <c r="S1069" s="299"/>
      <c r="T1069" s="59"/>
      <c r="U1069" s="59"/>
      <c r="V1069" s="59"/>
      <c r="W1069" s="59"/>
      <c r="X1069" s="59"/>
      <c r="Y1069" s="59"/>
      <c r="Z1069" s="59"/>
      <c r="AA1069" s="59"/>
      <c r="AB1069" s="59"/>
      <c r="AC1069" s="59"/>
    </row>
    <row r="1070" ht="15.75" customHeight="1">
      <c r="A1070" s="298"/>
      <c r="B1070" s="299"/>
      <c r="C1070" s="299"/>
      <c r="D1070" s="299"/>
      <c r="E1070" s="300"/>
      <c r="F1070" s="299"/>
      <c r="G1070" s="299"/>
      <c r="H1070" s="301"/>
      <c r="I1070" s="301"/>
      <c r="J1070" s="301"/>
      <c r="K1070" s="301"/>
      <c r="L1070" s="299"/>
      <c r="M1070" s="299"/>
      <c r="N1070" s="299"/>
      <c r="O1070" s="299"/>
      <c r="P1070" s="299"/>
      <c r="Q1070" s="299"/>
      <c r="R1070" s="299"/>
      <c r="S1070" s="299"/>
      <c r="T1070" s="59"/>
      <c r="U1070" s="59"/>
      <c r="V1070" s="59"/>
      <c r="W1070" s="59"/>
      <c r="X1070" s="59"/>
      <c r="Y1070" s="59"/>
      <c r="Z1070" s="59"/>
      <c r="AA1070" s="59"/>
      <c r="AB1070" s="59"/>
      <c r="AC1070" s="59"/>
    </row>
    <row r="1071" ht="15.75" customHeight="1">
      <c r="A1071" s="298"/>
      <c r="B1071" s="299"/>
      <c r="C1071" s="299"/>
      <c r="D1071" s="299"/>
      <c r="E1071" s="300"/>
      <c r="F1071" s="299"/>
      <c r="G1071" s="299"/>
      <c r="H1071" s="301"/>
      <c r="I1071" s="301"/>
      <c r="J1071" s="301"/>
      <c r="K1071" s="301"/>
      <c r="L1071" s="299"/>
      <c r="M1071" s="299"/>
      <c r="N1071" s="299"/>
      <c r="O1071" s="299"/>
      <c r="P1071" s="299"/>
      <c r="Q1071" s="299"/>
      <c r="R1071" s="299"/>
      <c r="S1071" s="299"/>
      <c r="T1071" s="59"/>
      <c r="U1071" s="59"/>
      <c r="V1071" s="59"/>
      <c r="W1071" s="59"/>
      <c r="X1071" s="59"/>
      <c r="Y1071" s="59"/>
      <c r="Z1071" s="59"/>
      <c r="AA1071" s="59"/>
      <c r="AB1071" s="59"/>
      <c r="AC1071" s="59"/>
    </row>
    <row r="1072" ht="15.75" customHeight="1">
      <c r="A1072" s="298"/>
      <c r="B1072" s="299"/>
      <c r="C1072" s="299"/>
      <c r="D1072" s="299"/>
      <c r="E1072" s="300"/>
      <c r="F1072" s="299"/>
      <c r="G1072" s="299"/>
      <c r="H1072" s="301"/>
      <c r="I1072" s="301"/>
      <c r="J1072" s="301"/>
      <c r="K1072" s="301"/>
      <c r="L1072" s="299"/>
      <c r="M1072" s="299"/>
      <c r="N1072" s="299"/>
      <c r="O1072" s="299"/>
      <c r="P1072" s="299"/>
      <c r="Q1072" s="299"/>
      <c r="R1072" s="299"/>
      <c r="S1072" s="299"/>
      <c r="T1072" s="59"/>
      <c r="U1072" s="59"/>
      <c r="V1072" s="59"/>
      <c r="W1072" s="59"/>
      <c r="X1072" s="59"/>
      <c r="Y1072" s="59"/>
      <c r="Z1072" s="59"/>
      <c r="AA1072" s="59"/>
      <c r="AB1072" s="59"/>
      <c r="AC1072" s="59"/>
    </row>
    <row r="1073" ht="15.75" customHeight="1">
      <c r="A1073" s="298"/>
      <c r="B1073" s="299"/>
      <c r="C1073" s="299"/>
      <c r="D1073" s="299"/>
      <c r="E1073" s="300"/>
      <c r="F1073" s="299"/>
      <c r="G1073" s="299"/>
      <c r="H1073" s="301"/>
      <c r="I1073" s="301"/>
      <c r="J1073" s="301"/>
      <c r="K1073" s="301"/>
      <c r="L1073" s="299"/>
      <c r="M1073" s="299"/>
      <c r="N1073" s="299"/>
      <c r="O1073" s="299"/>
      <c r="P1073" s="299"/>
      <c r="Q1073" s="299"/>
      <c r="R1073" s="299"/>
      <c r="S1073" s="299"/>
      <c r="T1073" s="59"/>
      <c r="U1073" s="59"/>
      <c r="V1073" s="59"/>
      <c r="W1073" s="59"/>
      <c r="X1073" s="59"/>
      <c r="Y1073" s="59"/>
      <c r="Z1073" s="59"/>
      <c r="AA1073" s="59"/>
      <c r="AB1073" s="59"/>
      <c r="AC1073" s="59"/>
    </row>
    <row r="1074" ht="15.75" customHeight="1">
      <c r="A1074" s="298"/>
      <c r="B1074" s="299"/>
      <c r="C1074" s="299"/>
      <c r="D1074" s="299"/>
      <c r="E1074" s="300"/>
      <c r="F1074" s="299"/>
      <c r="G1074" s="299"/>
      <c r="H1074" s="301"/>
      <c r="I1074" s="301"/>
      <c r="J1074" s="301"/>
      <c r="K1074" s="301"/>
      <c r="L1074" s="299"/>
      <c r="M1074" s="299"/>
      <c r="N1074" s="299"/>
      <c r="O1074" s="299"/>
      <c r="P1074" s="299"/>
      <c r="Q1074" s="299"/>
      <c r="R1074" s="299"/>
      <c r="S1074" s="299"/>
      <c r="T1074" s="59"/>
      <c r="U1074" s="59"/>
      <c r="V1074" s="59"/>
      <c r="W1074" s="59"/>
      <c r="X1074" s="59"/>
      <c r="Y1074" s="59"/>
      <c r="Z1074" s="59"/>
      <c r="AA1074" s="59"/>
      <c r="AB1074" s="59"/>
      <c r="AC1074" s="59"/>
    </row>
    <row r="1075" ht="15.75" customHeight="1">
      <c r="A1075" s="298"/>
      <c r="B1075" s="299"/>
      <c r="C1075" s="299"/>
      <c r="D1075" s="299"/>
      <c r="E1075" s="300"/>
      <c r="F1075" s="299"/>
      <c r="G1075" s="299"/>
      <c r="H1075" s="301"/>
      <c r="I1075" s="301"/>
      <c r="J1075" s="301"/>
      <c r="K1075" s="301"/>
      <c r="L1075" s="299"/>
      <c r="M1075" s="299"/>
      <c r="N1075" s="299"/>
      <c r="O1075" s="299"/>
      <c r="P1075" s="299"/>
      <c r="Q1075" s="299"/>
      <c r="R1075" s="299"/>
      <c r="S1075" s="299"/>
      <c r="T1075" s="59"/>
      <c r="U1075" s="59"/>
      <c r="V1075" s="59"/>
      <c r="W1075" s="59"/>
      <c r="X1075" s="59"/>
      <c r="Y1075" s="59"/>
      <c r="Z1075" s="59"/>
      <c r="AA1075" s="59"/>
      <c r="AB1075" s="59"/>
      <c r="AC1075" s="59"/>
    </row>
    <row r="1076" ht="15.75" customHeight="1">
      <c r="A1076" s="298"/>
      <c r="B1076" s="299"/>
      <c r="C1076" s="299"/>
      <c r="D1076" s="299"/>
      <c r="E1076" s="300"/>
      <c r="F1076" s="299"/>
      <c r="G1076" s="299"/>
      <c r="H1076" s="301"/>
      <c r="I1076" s="301"/>
      <c r="J1076" s="301"/>
      <c r="K1076" s="301"/>
      <c r="L1076" s="299"/>
      <c r="M1076" s="299"/>
      <c r="N1076" s="299"/>
      <c r="O1076" s="299"/>
      <c r="P1076" s="299"/>
      <c r="Q1076" s="299"/>
      <c r="R1076" s="299"/>
      <c r="S1076" s="299"/>
      <c r="T1076" s="59"/>
      <c r="U1076" s="59"/>
      <c r="V1076" s="59"/>
      <c r="W1076" s="59"/>
      <c r="X1076" s="59"/>
      <c r="Y1076" s="59"/>
      <c r="Z1076" s="59"/>
      <c r="AA1076" s="59"/>
      <c r="AB1076" s="59"/>
      <c r="AC1076" s="59"/>
    </row>
    <row r="1077" ht="15.75" customHeight="1">
      <c r="A1077" s="298"/>
      <c r="B1077" s="299"/>
      <c r="C1077" s="299"/>
      <c r="D1077" s="299"/>
      <c r="E1077" s="300"/>
      <c r="F1077" s="299"/>
      <c r="G1077" s="299"/>
      <c r="H1077" s="301"/>
      <c r="I1077" s="301"/>
      <c r="J1077" s="301"/>
      <c r="K1077" s="301"/>
      <c r="L1077" s="299"/>
      <c r="M1077" s="299"/>
      <c r="N1077" s="299"/>
      <c r="O1077" s="299"/>
      <c r="P1077" s="299"/>
      <c r="Q1077" s="299"/>
      <c r="R1077" s="299"/>
      <c r="S1077" s="299"/>
      <c r="T1077" s="59"/>
      <c r="U1077" s="59"/>
      <c r="V1077" s="59"/>
      <c r="W1077" s="59"/>
      <c r="X1077" s="59"/>
      <c r="Y1077" s="59"/>
      <c r="Z1077" s="59"/>
      <c r="AA1077" s="59"/>
      <c r="AB1077" s="59"/>
      <c r="AC1077" s="59"/>
    </row>
    <row r="1078" ht="15.75" customHeight="1">
      <c r="A1078" s="298"/>
      <c r="B1078" s="299"/>
      <c r="C1078" s="299"/>
      <c r="D1078" s="299"/>
      <c r="E1078" s="300"/>
      <c r="F1078" s="299"/>
      <c r="G1078" s="299"/>
      <c r="H1078" s="301"/>
      <c r="I1078" s="301"/>
      <c r="J1078" s="301"/>
      <c r="K1078" s="301"/>
      <c r="L1078" s="299"/>
      <c r="M1078" s="299"/>
      <c r="N1078" s="299"/>
      <c r="O1078" s="299"/>
      <c r="P1078" s="299"/>
      <c r="Q1078" s="299"/>
      <c r="R1078" s="299"/>
      <c r="S1078" s="299"/>
      <c r="T1078" s="59"/>
      <c r="U1078" s="59"/>
      <c r="V1078" s="59"/>
      <c r="W1078" s="59"/>
      <c r="X1078" s="59"/>
      <c r="Y1078" s="59"/>
      <c r="Z1078" s="59"/>
      <c r="AA1078" s="59"/>
      <c r="AB1078" s="59"/>
      <c r="AC1078" s="59"/>
    </row>
    <row r="1079" ht="15.75" customHeight="1">
      <c r="A1079" s="298"/>
      <c r="B1079" s="299"/>
      <c r="C1079" s="299"/>
      <c r="D1079" s="299"/>
      <c r="E1079" s="300"/>
      <c r="F1079" s="299"/>
      <c r="G1079" s="299"/>
      <c r="H1079" s="301"/>
      <c r="I1079" s="301"/>
      <c r="J1079" s="301"/>
      <c r="K1079" s="301"/>
      <c r="L1079" s="299"/>
      <c r="M1079" s="299"/>
      <c r="N1079" s="299"/>
      <c r="O1079" s="299"/>
      <c r="P1079" s="299"/>
      <c r="Q1079" s="299"/>
      <c r="R1079" s="299"/>
      <c r="S1079" s="299"/>
      <c r="T1079" s="59"/>
      <c r="U1079" s="59"/>
      <c r="V1079" s="59"/>
      <c r="W1079" s="59"/>
      <c r="X1079" s="59"/>
      <c r="Y1079" s="59"/>
      <c r="Z1079" s="59"/>
      <c r="AA1079" s="59"/>
      <c r="AB1079" s="59"/>
      <c r="AC1079" s="59"/>
    </row>
    <row r="1080" ht="15.75" customHeight="1">
      <c r="A1080" s="298"/>
      <c r="B1080" s="299"/>
      <c r="C1080" s="299"/>
      <c r="D1080" s="299"/>
      <c r="E1080" s="300"/>
      <c r="F1080" s="299"/>
      <c r="G1080" s="299"/>
      <c r="H1080" s="301"/>
      <c r="I1080" s="301"/>
      <c r="J1080" s="301"/>
      <c r="K1080" s="301"/>
      <c r="L1080" s="299"/>
      <c r="M1080" s="299"/>
      <c r="N1080" s="299"/>
      <c r="O1080" s="299"/>
      <c r="P1080" s="299"/>
      <c r="Q1080" s="299"/>
      <c r="R1080" s="299"/>
      <c r="S1080" s="299"/>
      <c r="T1080" s="59"/>
      <c r="U1080" s="59"/>
      <c r="V1080" s="59"/>
      <c r="W1080" s="59"/>
      <c r="X1080" s="59"/>
      <c r="Y1080" s="59"/>
      <c r="Z1080" s="59"/>
      <c r="AA1080" s="59"/>
      <c r="AB1080" s="59"/>
      <c r="AC1080" s="59"/>
    </row>
    <row r="1081" ht="15.75" customHeight="1">
      <c r="A1081" s="298"/>
      <c r="B1081" s="299"/>
      <c r="C1081" s="299"/>
      <c r="D1081" s="299"/>
      <c r="E1081" s="300"/>
      <c r="F1081" s="299"/>
      <c r="G1081" s="299"/>
      <c r="H1081" s="301"/>
      <c r="I1081" s="301"/>
      <c r="J1081" s="301"/>
      <c r="K1081" s="301"/>
      <c r="L1081" s="299"/>
      <c r="M1081" s="299"/>
      <c r="N1081" s="299"/>
      <c r="O1081" s="299"/>
      <c r="P1081" s="299"/>
      <c r="Q1081" s="299"/>
      <c r="R1081" s="299"/>
      <c r="S1081" s="299"/>
      <c r="T1081" s="59"/>
      <c r="U1081" s="59"/>
      <c r="V1081" s="59"/>
      <c r="W1081" s="59"/>
      <c r="X1081" s="59"/>
      <c r="Y1081" s="59"/>
      <c r="Z1081" s="59"/>
      <c r="AA1081" s="59"/>
      <c r="AB1081" s="59"/>
      <c r="AC1081" s="59"/>
    </row>
    <row r="1082" ht="15.75" customHeight="1">
      <c r="A1082" s="298"/>
      <c r="B1082" s="299"/>
      <c r="C1082" s="299"/>
      <c r="D1082" s="299"/>
      <c r="E1082" s="300"/>
      <c r="F1082" s="299"/>
      <c r="G1082" s="299"/>
      <c r="H1082" s="301"/>
      <c r="I1082" s="301"/>
      <c r="J1082" s="301"/>
      <c r="K1082" s="301"/>
      <c r="L1082" s="299"/>
      <c r="M1082" s="299"/>
      <c r="N1082" s="299"/>
      <c r="O1082" s="299"/>
      <c r="P1082" s="299"/>
      <c r="Q1082" s="299"/>
      <c r="R1082" s="299"/>
      <c r="S1082" s="299"/>
      <c r="T1082" s="59"/>
      <c r="U1082" s="59"/>
      <c r="V1082" s="59"/>
      <c r="W1082" s="59"/>
      <c r="X1082" s="59"/>
      <c r="Y1082" s="59"/>
      <c r="Z1082" s="59"/>
      <c r="AA1082" s="59"/>
      <c r="AB1082" s="59"/>
      <c r="AC1082" s="59"/>
    </row>
    <row r="1083" ht="15.75" customHeight="1">
      <c r="A1083" s="298"/>
      <c r="B1083" s="299"/>
      <c r="C1083" s="299"/>
      <c r="D1083" s="299"/>
      <c r="E1083" s="300"/>
      <c r="F1083" s="299"/>
      <c r="G1083" s="299"/>
      <c r="H1083" s="301"/>
      <c r="I1083" s="301"/>
      <c r="J1083" s="301"/>
      <c r="K1083" s="301"/>
      <c r="L1083" s="299"/>
      <c r="M1083" s="299"/>
      <c r="N1083" s="299"/>
      <c r="O1083" s="299"/>
      <c r="P1083" s="299"/>
      <c r="Q1083" s="299"/>
      <c r="R1083" s="299"/>
      <c r="S1083" s="299"/>
      <c r="T1083" s="59"/>
      <c r="U1083" s="59"/>
      <c r="V1083" s="59"/>
      <c r="W1083" s="59"/>
      <c r="X1083" s="59"/>
      <c r="Y1083" s="59"/>
      <c r="Z1083" s="59"/>
      <c r="AA1083" s="59"/>
      <c r="AB1083" s="59"/>
      <c r="AC1083" s="59"/>
    </row>
    <row r="1084" ht="15.75" customHeight="1">
      <c r="A1084" s="298"/>
      <c r="B1084" s="299"/>
      <c r="C1084" s="299"/>
      <c r="D1084" s="299"/>
      <c r="E1084" s="300"/>
      <c r="F1084" s="299"/>
      <c r="G1084" s="299"/>
      <c r="H1084" s="301"/>
      <c r="I1084" s="301"/>
      <c r="J1084" s="301"/>
      <c r="K1084" s="301"/>
      <c r="L1084" s="299"/>
      <c r="M1084" s="299"/>
      <c r="N1084" s="299"/>
      <c r="O1084" s="299"/>
      <c r="P1084" s="299"/>
      <c r="Q1084" s="299"/>
      <c r="R1084" s="299"/>
      <c r="S1084" s="299"/>
      <c r="T1084" s="59"/>
      <c r="U1084" s="59"/>
      <c r="V1084" s="59"/>
      <c r="W1084" s="59"/>
      <c r="X1084" s="59"/>
      <c r="Y1084" s="59"/>
      <c r="Z1084" s="59"/>
      <c r="AA1084" s="59"/>
      <c r="AB1084" s="59"/>
      <c r="AC1084" s="59"/>
    </row>
    <row r="1085" ht="15.75" customHeight="1">
      <c r="A1085" s="298"/>
      <c r="B1085" s="299"/>
      <c r="C1085" s="299"/>
      <c r="D1085" s="299"/>
      <c r="E1085" s="300"/>
      <c r="F1085" s="299"/>
      <c r="G1085" s="299"/>
      <c r="H1085" s="301"/>
      <c r="I1085" s="301"/>
      <c r="J1085" s="301"/>
      <c r="K1085" s="301"/>
      <c r="L1085" s="299"/>
      <c r="M1085" s="299"/>
      <c r="N1085" s="299"/>
      <c r="O1085" s="299"/>
      <c r="P1085" s="299"/>
      <c r="Q1085" s="299"/>
      <c r="R1085" s="299"/>
      <c r="S1085" s="299"/>
      <c r="T1085" s="59"/>
      <c r="U1085" s="59"/>
      <c r="V1085" s="59"/>
      <c r="W1085" s="59"/>
      <c r="X1085" s="59"/>
      <c r="Y1085" s="59"/>
      <c r="Z1085" s="59"/>
      <c r="AA1085" s="59"/>
      <c r="AB1085" s="59"/>
      <c r="AC1085" s="59"/>
    </row>
    <row r="1086" ht="15.75" customHeight="1">
      <c r="A1086" s="298"/>
      <c r="B1086" s="299"/>
      <c r="C1086" s="299"/>
      <c r="D1086" s="299"/>
      <c r="E1086" s="300"/>
      <c r="F1086" s="299"/>
      <c r="G1086" s="299"/>
      <c r="H1086" s="301"/>
      <c r="I1086" s="301"/>
      <c r="J1086" s="301"/>
      <c r="K1086" s="301"/>
      <c r="L1086" s="299"/>
      <c r="M1086" s="299"/>
      <c r="N1086" s="299"/>
      <c r="O1086" s="299"/>
      <c r="P1086" s="299"/>
      <c r="Q1086" s="299"/>
      <c r="R1086" s="299"/>
      <c r="S1086" s="299"/>
      <c r="T1086" s="59"/>
      <c r="U1086" s="59"/>
      <c r="V1086" s="59"/>
      <c r="W1086" s="59"/>
      <c r="X1086" s="59"/>
      <c r="Y1086" s="59"/>
      <c r="Z1086" s="59"/>
      <c r="AA1086" s="59"/>
      <c r="AB1086" s="59"/>
      <c r="AC1086" s="59"/>
    </row>
    <row r="1087" ht="15.75" customHeight="1">
      <c r="A1087" s="298"/>
      <c r="B1087" s="299"/>
      <c r="C1087" s="299"/>
      <c r="D1087" s="299"/>
      <c r="E1087" s="300"/>
      <c r="F1087" s="299"/>
      <c r="G1087" s="299"/>
      <c r="H1087" s="301"/>
      <c r="I1087" s="301"/>
      <c r="J1087" s="301"/>
      <c r="K1087" s="301"/>
      <c r="L1087" s="299"/>
      <c r="M1087" s="299"/>
      <c r="N1087" s="299"/>
      <c r="O1087" s="299"/>
      <c r="P1087" s="299"/>
      <c r="Q1087" s="299"/>
      <c r="R1087" s="299"/>
      <c r="S1087" s="299"/>
      <c r="T1087" s="59"/>
      <c r="U1087" s="59"/>
      <c r="V1087" s="59"/>
      <c r="W1087" s="59"/>
      <c r="X1087" s="59"/>
      <c r="Y1087" s="59"/>
      <c r="Z1087" s="59"/>
      <c r="AA1087" s="59"/>
      <c r="AB1087" s="59"/>
      <c r="AC1087" s="59"/>
    </row>
    <row r="1088" ht="15.75" customHeight="1">
      <c r="A1088" s="298"/>
      <c r="B1088" s="299"/>
      <c r="C1088" s="299"/>
      <c r="D1088" s="299"/>
      <c r="E1088" s="300"/>
      <c r="F1088" s="299"/>
      <c r="G1088" s="299"/>
      <c r="H1088" s="301"/>
      <c r="I1088" s="301"/>
      <c r="J1088" s="301"/>
      <c r="K1088" s="301"/>
      <c r="L1088" s="299"/>
      <c r="M1088" s="299"/>
      <c r="N1088" s="299"/>
      <c r="O1088" s="299"/>
      <c r="P1088" s="299"/>
      <c r="Q1088" s="299"/>
      <c r="R1088" s="299"/>
      <c r="S1088" s="299"/>
      <c r="T1088" s="59"/>
      <c r="U1088" s="59"/>
      <c r="V1088" s="59"/>
      <c r="W1088" s="59"/>
      <c r="X1088" s="59"/>
      <c r="Y1088" s="59"/>
      <c r="Z1088" s="59"/>
      <c r="AA1088" s="59"/>
      <c r="AB1088" s="59"/>
      <c r="AC1088" s="59"/>
    </row>
    <row r="1089" ht="15.75" customHeight="1">
      <c r="A1089" s="298"/>
      <c r="B1089" s="299"/>
      <c r="C1089" s="299"/>
      <c r="D1089" s="299"/>
      <c r="E1089" s="300"/>
      <c r="F1089" s="299"/>
      <c r="G1089" s="299"/>
      <c r="H1089" s="301"/>
      <c r="I1089" s="301"/>
      <c r="J1089" s="301"/>
      <c r="K1089" s="301"/>
      <c r="L1089" s="299"/>
      <c r="M1089" s="299"/>
      <c r="N1089" s="299"/>
      <c r="O1089" s="299"/>
      <c r="P1089" s="299"/>
      <c r="Q1089" s="299"/>
      <c r="R1089" s="299"/>
      <c r="S1089" s="299"/>
      <c r="T1089" s="59"/>
      <c r="U1089" s="59"/>
      <c r="V1089" s="59"/>
      <c r="W1089" s="59"/>
      <c r="X1089" s="59"/>
      <c r="Y1089" s="59"/>
      <c r="Z1089" s="59"/>
      <c r="AA1089" s="59"/>
      <c r="AB1089" s="59"/>
      <c r="AC1089" s="59"/>
    </row>
    <row r="1090" ht="15.75" customHeight="1">
      <c r="A1090" s="298"/>
      <c r="B1090" s="299"/>
      <c r="C1090" s="299"/>
      <c r="D1090" s="299"/>
      <c r="E1090" s="300"/>
      <c r="F1090" s="299"/>
      <c r="G1090" s="299"/>
      <c r="H1090" s="301"/>
      <c r="I1090" s="301"/>
      <c r="J1090" s="301"/>
      <c r="K1090" s="301"/>
      <c r="L1090" s="299"/>
      <c r="M1090" s="299"/>
      <c r="N1090" s="299"/>
      <c r="O1090" s="299"/>
      <c r="P1090" s="299"/>
      <c r="Q1090" s="299"/>
      <c r="R1090" s="299"/>
      <c r="S1090" s="299"/>
      <c r="T1090" s="59"/>
      <c r="U1090" s="59"/>
      <c r="V1090" s="59"/>
      <c r="W1090" s="59"/>
      <c r="X1090" s="59"/>
      <c r="Y1090" s="59"/>
      <c r="Z1090" s="59"/>
      <c r="AA1090" s="59"/>
      <c r="AB1090" s="59"/>
      <c r="AC1090" s="59"/>
    </row>
    <row r="1091" ht="15.75" customHeight="1">
      <c r="A1091" s="298"/>
      <c r="B1091" s="299"/>
      <c r="C1091" s="299"/>
      <c r="D1091" s="299"/>
      <c r="E1091" s="300"/>
      <c r="F1091" s="299"/>
      <c r="G1091" s="299"/>
      <c r="H1091" s="301"/>
      <c r="I1091" s="301"/>
      <c r="J1091" s="301"/>
      <c r="K1091" s="301"/>
      <c r="L1091" s="299"/>
      <c r="M1091" s="299"/>
      <c r="N1091" s="299"/>
      <c r="O1091" s="299"/>
      <c r="P1091" s="299"/>
      <c r="Q1091" s="299"/>
      <c r="R1091" s="299"/>
      <c r="S1091" s="299"/>
      <c r="T1091" s="59"/>
      <c r="U1091" s="59"/>
      <c r="V1091" s="59"/>
      <c r="W1091" s="59"/>
      <c r="X1091" s="59"/>
      <c r="Y1091" s="59"/>
      <c r="Z1091" s="59"/>
      <c r="AA1091" s="59"/>
      <c r="AB1091" s="59"/>
      <c r="AC1091" s="59"/>
    </row>
    <row r="1092" ht="15.75" customHeight="1">
      <c r="A1092" s="298"/>
      <c r="B1092" s="299"/>
      <c r="C1092" s="299"/>
      <c r="D1092" s="299"/>
      <c r="E1092" s="300"/>
      <c r="F1092" s="299"/>
      <c r="G1092" s="299"/>
      <c r="H1092" s="301"/>
      <c r="I1092" s="301"/>
      <c r="J1092" s="301"/>
      <c r="K1092" s="301"/>
      <c r="L1092" s="299"/>
      <c r="M1092" s="299"/>
      <c r="N1092" s="299"/>
      <c r="O1092" s="299"/>
      <c r="P1092" s="299"/>
      <c r="Q1092" s="299"/>
      <c r="R1092" s="299"/>
      <c r="S1092" s="299"/>
      <c r="T1092" s="59"/>
      <c r="U1092" s="59"/>
      <c r="V1092" s="59"/>
      <c r="W1092" s="59"/>
      <c r="X1092" s="59"/>
      <c r="Y1092" s="59"/>
      <c r="Z1092" s="59"/>
      <c r="AA1092" s="59"/>
      <c r="AB1092" s="59"/>
      <c r="AC1092" s="59"/>
    </row>
    <row r="1093" ht="15.75" customHeight="1">
      <c r="A1093" s="298"/>
      <c r="B1093" s="299"/>
      <c r="C1093" s="299"/>
      <c r="D1093" s="299"/>
      <c r="E1093" s="300"/>
      <c r="F1093" s="299"/>
      <c r="G1093" s="299"/>
      <c r="H1093" s="301"/>
      <c r="I1093" s="301"/>
      <c r="J1093" s="301"/>
      <c r="K1093" s="301"/>
      <c r="L1093" s="299"/>
      <c r="M1093" s="299"/>
      <c r="N1093" s="299"/>
      <c r="O1093" s="299"/>
      <c r="P1093" s="299"/>
      <c r="Q1093" s="299"/>
      <c r="R1093" s="299"/>
      <c r="S1093" s="299"/>
      <c r="T1093" s="59"/>
      <c r="U1093" s="59"/>
      <c r="V1093" s="59"/>
      <c r="W1093" s="59"/>
      <c r="X1093" s="59"/>
      <c r="Y1093" s="59"/>
      <c r="Z1093" s="59"/>
      <c r="AA1093" s="59"/>
      <c r="AB1093" s="59"/>
      <c r="AC1093" s="59"/>
    </row>
    <row r="1094" ht="15.75" customHeight="1">
      <c r="A1094" s="298"/>
      <c r="B1094" s="299"/>
      <c r="C1094" s="299"/>
      <c r="D1094" s="299"/>
      <c r="E1094" s="300"/>
      <c r="F1094" s="299"/>
      <c r="G1094" s="299"/>
      <c r="H1094" s="301"/>
      <c r="I1094" s="301"/>
      <c r="J1094" s="301"/>
      <c r="K1094" s="301"/>
      <c r="L1094" s="299"/>
      <c r="M1094" s="299"/>
      <c r="N1094" s="299"/>
      <c r="O1094" s="299"/>
      <c r="P1094" s="299"/>
      <c r="Q1094" s="299"/>
      <c r="R1094" s="299"/>
      <c r="S1094" s="299"/>
      <c r="T1094" s="59"/>
      <c r="U1094" s="59"/>
      <c r="V1094" s="59"/>
      <c r="W1094" s="59"/>
      <c r="X1094" s="59"/>
      <c r="Y1094" s="59"/>
      <c r="Z1094" s="59"/>
      <c r="AA1094" s="59"/>
      <c r="AB1094" s="59"/>
      <c r="AC1094" s="59"/>
    </row>
    <row r="1095" ht="15.75" customHeight="1">
      <c r="A1095" s="298"/>
      <c r="B1095" s="299"/>
      <c r="C1095" s="299"/>
      <c r="D1095" s="299"/>
      <c r="E1095" s="300"/>
      <c r="F1095" s="299"/>
      <c r="G1095" s="299"/>
      <c r="H1095" s="301"/>
      <c r="I1095" s="301"/>
      <c r="J1095" s="301"/>
      <c r="K1095" s="301"/>
      <c r="L1095" s="299"/>
      <c r="M1095" s="299"/>
      <c r="N1095" s="299"/>
      <c r="O1095" s="299"/>
      <c r="P1095" s="299"/>
      <c r="Q1095" s="299"/>
      <c r="R1095" s="299"/>
      <c r="S1095" s="299"/>
      <c r="T1095" s="59"/>
      <c r="U1095" s="59"/>
      <c r="V1095" s="59"/>
      <c r="W1095" s="59"/>
      <c r="X1095" s="59"/>
      <c r="Y1095" s="59"/>
      <c r="Z1095" s="59"/>
      <c r="AA1095" s="59"/>
      <c r="AB1095" s="59"/>
      <c r="AC1095" s="59"/>
    </row>
    <row r="1096" ht="15.75" customHeight="1">
      <c r="A1096" s="298"/>
      <c r="B1096" s="299"/>
      <c r="C1096" s="299"/>
      <c r="D1096" s="299"/>
      <c r="E1096" s="300"/>
      <c r="F1096" s="299"/>
      <c r="G1096" s="299"/>
      <c r="H1096" s="301"/>
      <c r="I1096" s="301"/>
      <c r="J1096" s="301"/>
      <c r="K1096" s="301"/>
      <c r="L1096" s="299"/>
      <c r="M1096" s="299"/>
      <c r="N1096" s="299"/>
      <c r="O1096" s="299"/>
      <c r="P1096" s="299"/>
      <c r="Q1096" s="299"/>
      <c r="R1096" s="299"/>
      <c r="S1096" s="299"/>
      <c r="T1096" s="59"/>
      <c r="U1096" s="59"/>
      <c r="V1096" s="59"/>
      <c r="W1096" s="59"/>
      <c r="X1096" s="59"/>
      <c r="Y1096" s="59"/>
      <c r="Z1096" s="59"/>
      <c r="AA1096" s="59"/>
      <c r="AB1096" s="59"/>
      <c r="AC1096" s="59"/>
    </row>
    <row r="1097" ht="15.75" customHeight="1">
      <c r="A1097" s="298"/>
      <c r="B1097" s="299"/>
      <c r="C1097" s="299"/>
      <c r="D1097" s="299"/>
      <c r="E1097" s="300"/>
      <c r="F1097" s="299"/>
      <c r="G1097" s="299"/>
      <c r="H1097" s="301"/>
      <c r="I1097" s="301"/>
      <c r="J1097" s="301"/>
      <c r="K1097" s="301"/>
      <c r="L1097" s="299"/>
      <c r="M1097" s="299"/>
      <c r="N1097" s="299"/>
      <c r="O1097" s="299"/>
      <c r="P1097" s="299"/>
      <c r="Q1097" s="299"/>
      <c r="R1097" s="299"/>
      <c r="S1097" s="299"/>
      <c r="T1097" s="59"/>
      <c r="U1097" s="59"/>
      <c r="V1097" s="59"/>
      <c r="W1097" s="59"/>
      <c r="X1097" s="59"/>
      <c r="Y1097" s="59"/>
      <c r="Z1097" s="59"/>
      <c r="AA1097" s="59"/>
      <c r="AB1097" s="59"/>
      <c r="AC1097" s="59"/>
    </row>
    <row r="1098" ht="15.75" customHeight="1">
      <c r="A1098" s="298"/>
      <c r="B1098" s="299"/>
      <c r="C1098" s="299"/>
      <c r="D1098" s="299"/>
      <c r="E1098" s="300"/>
      <c r="F1098" s="299"/>
      <c r="G1098" s="299"/>
      <c r="H1098" s="301"/>
      <c r="I1098" s="301"/>
      <c r="J1098" s="301"/>
      <c r="K1098" s="301"/>
      <c r="L1098" s="299"/>
      <c r="M1098" s="299"/>
      <c r="N1098" s="299"/>
      <c r="O1098" s="299"/>
      <c r="P1098" s="299"/>
      <c r="Q1098" s="299"/>
      <c r="R1098" s="299"/>
      <c r="S1098" s="299"/>
      <c r="T1098" s="59"/>
      <c r="U1098" s="59"/>
      <c r="V1098" s="59"/>
      <c r="W1098" s="59"/>
      <c r="X1098" s="59"/>
      <c r="Y1098" s="59"/>
      <c r="Z1098" s="59"/>
      <c r="AA1098" s="59"/>
      <c r="AB1098" s="59"/>
      <c r="AC1098" s="59"/>
    </row>
    <row r="1099" ht="15.75" customHeight="1">
      <c r="A1099" s="298"/>
      <c r="B1099" s="299"/>
      <c r="C1099" s="299"/>
      <c r="D1099" s="299"/>
      <c r="E1099" s="300"/>
      <c r="F1099" s="299"/>
      <c r="G1099" s="299"/>
      <c r="H1099" s="301"/>
      <c r="I1099" s="301"/>
      <c r="J1099" s="301"/>
      <c r="K1099" s="301"/>
      <c r="L1099" s="299"/>
      <c r="M1099" s="299"/>
      <c r="N1099" s="299"/>
      <c r="O1099" s="299"/>
      <c r="P1099" s="299"/>
      <c r="Q1099" s="299"/>
      <c r="R1099" s="299"/>
      <c r="S1099" s="299"/>
      <c r="T1099" s="59"/>
      <c r="U1099" s="59"/>
      <c r="V1099" s="59"/>
      <c r="W1099" s="59"/>
      <c r="X1099" s="59"/>
      <c r="Y1099" s="59"/>
      <c r="Z1099" s="59"/>
      <c r="AA1099" s="59"/>
      <c r="AB1099" s="59"/>
      <c r="AC1099" s="59"/>
    </row>
    <row r="1100" ht="15.75" customHeight="1">
      <c r="A1100" s="298"/>
      <c r="B1100" s="299"/>
      <c r="C1100" s="299"/>
      <c r="D1100" s="299"/>
      <c r="E1100" s="300"/>
      <c r="F1100" s="299"/>
      <c r="G1100" s="299"/>
      <c r="H1100" s="301"/>
      <c r="I1100" s="301"/>
      <c r="J1100" s="301"/>
      <c r="K1100" s="301"/>
      <c r="L1100" s="299"/>
      <c r="M1100" s="299"/>
      <c r="N1100" s="299"/>
      <c r="O1100" s="299"/>
      <c r="P1100" s="299"/>
      <c r="Q1100" s="299"/>
      <c r="R1100" s="299"/>
      <c r="S1100" s="299"/>
      <c r="T1100" s="59"/>
      <c r="U1100" s="59"/>
      <c r="V1100" s="59"/>
      <c r="W1100" s="59"/>
      <c r="X1100" s="59"/>
      <c r="Y1100" s="59"/>
      <c r="Z1100" s="59"/>
      <c r="AA1100" s="59"/>
      <c r="AB1100" s="59"/>
      <c r="AC1100" s="59"/>
    </row>
    <row r="1101" ht="15.75" customHeight="1">
      <c r="A1101" s="298"/>
      <c r="B1101" s="299"/>
      <c r="C1101" s="299"/>
      <c r="D1101" s="299"/>
      <c r="E1101" s="300"/>
      <c r="F1101" s="299"/>
      <c r="G1101" s="299"/>
      <c r="H1101" s="301"/>
      <c r="I1101" s="301"/>
      <c r="J1101" s="301"/>
      <c r="K1101" s="301"/>
      <c r="L1101" s="299"/>
      <c r="M1101" s="299"/>
      <c r="N1101" s="299"/>
      <c r="O1101" s="299"/>
      <c r="P1101" s="299"/>
      <c r="Q1101" s="299"/>
      <c r="R1101" s="299"/>
      <c r="S1101" s="299"/>
      <c r="T1101" s="59"/>
      <c r="U1101" s="59"/>
      <c r="V1101" s="59"/>
      <c r="W1101" s="59"/>
      <c r="X1101" s="59"/>
      <c r="Y1101" s="59"/>
      <c r="Z1101" s="59"/>
      <c r="AA1101" s="59"/>
      <c r="AB1101" s="59"/>
      <c r="AC1101" s="59"/>
    </row>
    <row r="1102" ht="15.75" customHeight="1">
      <c r="A1102" s="298"/>
      <c r="B1102" s="299"/>
      <c r="C1102" s="299"/>
      <c r="D1102" s="299"/>
      <c r="E1102" s="300"/>
      <c r="F1102" s="299"/>
      <c r="G1102" s="299"/>
      <c r="H1102" s="301"/>
      <c r="I1102" s="301"/>
      <c r="J1102" s="301"/>
      <c r="K1102" s="301"/>
      <c r="L1102" s="299"/>
      <c r="M1102" s="299"/>
      <c r="N1102" s="299"/>
      <c r="O1102" s="299"/>
      <c r="P1102" s="299"/>
      <c r="Q1102" s="299"/>
      <c r="R1102" s="299"/>
      <c r="S1102" s="299"/>
      <c r="T1102" s="59"/>
      <c r="U1102" s="59"/>
      <c r="V1102" s="59"/>
      <c r="W1102" s="59"/>
      <c r="X1102" s="59"/>
      <c r="Y1102" s="59"/>
      <c r="Z1102" s="59"/>
      <c r="AA1102" s="59"/>
      <c r="AB1102" s="59"/>
      <c r="AC1102" s="59"/>
    </row>
    <row r="1103" ht="15.75" customHeight="1">
      <c r="A1103" s="298"/>
      <c r="B1103" s="299"/>
      <c r="C1103" s="299"/>
      <c r="D1103" s="299"/>
      <c r="E1103" s="300"/>
      <c r="F1103" s="299"/>
      <c r="G1103" s="299"/>
      <c r="H1103" s="301"/>
      <c r="I1103" s="301"/>
      <c r="J1103" s="301"/>
      <c r="K1103" s="301"/>
      <c r="L1103" s="299"/>
      <c r="M1103" s="299"/>
      <c r="N1103" s="299"/>
      <c r="O1103" s="299"/>
      <c r="P1103" s="299"/>
      <c r="Q1103" s="299"/>
      <c r="R1103" s="299"/>
      <c r="S1103" s="299"/>
      <c r="T1103" s="59"/>
      <c r="U1103" s="59"/>
      <c r="V1103" s="59"/>
      <c r="W1103" s="59"/>
      <c r="X1103" s="59"/>
      <c r="Y1103" s="59"/>
      <c r="Z1103" s="59"/>
      <c r="AA1103" s="59"/>
      <c r="AB1103" s="59"/>
      <c r="AC1103" s="59"/>
    </row>
    <row r="1104" ht="15.75" customHeight="1">
      <c r="A1104" s="298"/>
      <c r="B1104" s="299"/>
      <c r="C1104" s="299"/>
      <c r="D1104" s="299"/>
      <c r="E1104" s="300"/>
      <c r="F1104" s="299"/>
      <c r="G1104" s="299"/>
      <c r="H1104" s="301"/>
      <c r="I1104" s="301"/>
      <c r="J1104" s="301"/>
      <c r="K1104" s="301"/>
      <c r="L1104" s="299"/>
      <c r="M1104" s="299"/>
      <c r="N1104" s="299"/>
      <c r="O1104" s="299"/>
      <c r="P1104" s="299"/>
      <c r="Q1104" s="299"/>
      <c r="R1104" s="299"/>
      <c r="S1104" s="299"/>
      <c r="T1104" s="59"/>
      <c r="U1104" s="59"/>
      <c r="V1104" s="59"/>
      <c r="W1104" s="59"/>
      <c r="X1104" s="59"/>
      <c r="Y1104" s="59"/>
      <c r="Z1104" s="59"/>
      <c r="AA1104" s="59"/>
      <c r="AB1104" s="59"/>
      <c r="AC1104" s="59"/>
    </row>
    <row r="1105" ht="15.75" customHeight="1">
      <c r="A1105" s="298"/>
      <c r="B1105" s="299"/>
      <c r="C1105" s="299"/>
      <c r="D1105" s="299"/>
      <c r="E1105" s="300"/>
      <c r="F1105" s="299"/>
      <c r="G1105" s="299"/>
      <c r="H1105" s="301"/>
      <c r="I1105" s="301"/>
      <c r="J1105" s="301"/>
      <c r="K1105" s="301"/>
      <c r="L1105" s="299"/>
      <c r="M1105" s="299"/>
      <c r="N1105" s="299"/>
      <c r="O1105" s="299"/>
      <c r="P1105" s="299"/>
      <c r="Q1105" s="299"/>
      <c r="R1105" s="299"/>
      <c r="S1105" s="299"/>
      <c r="T1105" s="59"/>
      <c r="U1105" s="59"/>
      <c r="V1105" s="59"/>
      <c r="W1105" s="59"/>
      <c r="X1105" s="59"/>
      <c r="Y1105" s="59"/>
      <c r="Z1105" s="59"/>
      <c r="AA1105" s="59"/>
      <c r="AB1105" s="59"/>
      <c r="AC1105" s="59"/>
    </row>
    <row r="1106" ht="15.75" customHeight="1">
      <c r="A1106" s="298"/>
      <c r="B1106" s="299"/>
      <c r="C1106" s="299"/>
      <c r="D1106" s="299"/>
      <c r="E1106" s="300"/>
      <c r="F1106" s="299"/>
      <c r="G1106" s="299"/>
      <c r="H1106" s="301"/>
      <c r="I1106" s="301"/>
      <c r="J1106" s="301"/>
      <c r="K1106" s="301"/>
      <c r="L1106" s="299"/>
      <c r="M1106" s="299"/>
      <c r="N1106" s="299"/>
      <c r="O1106" s="299"/>
      <c r="P1106" s="299"/>
      <c r="Q1106" s="299"/>
      <c r="R1106" s="299"/>
      <c r="S1106" s="299"/>
      <c r="T1106" s="59"/>
      <c r="U1106" s="59"/>
      <c r="V1106" s="59"/>
      <c r="W1106" s="59"/>
      <c r="X1106" s="59"/>
      <c r="Y1106" s="59"/>
      <c r="Z1106" s="59"/>
      <c r="AA1106" s="59"/>
      <c r="AB1106" s="59"/>
      <c r="AC1106" s="59"/>
    </row>
    <row r="1107" ht="15.75" customHeight="1">
      <c r="A1107" s="298"/>
      <c r="B1107" s="299"/>
      <c r="C1107" s="299"/>
      <c r="D1107" s="299"/>
      <c r="E1107" s="300"/>
      <c r="F1107" s="299"/>
      <c r="G1107" s="299"/>
      <c r="H1107" s="301"/>
      <c r="I1107" s="301"/>
      <c r="J1107" s="301"/>
      <c r="K1107" s="301"/>
      <c r="L1107" s="299"/>
      <c r="M1107" s="299"/>
      <c r="N1107" s="299"/>
      <c r="O1107" s="299"/>
      <c r="P1107" s="299"/>
      <c r="Q1107" s="299"/>
      <c r="R1107" s="299"/>
      <c r="S1107" s="299"/>
      <c r="T1107" s="59"/>
      <c r="U1107" s="59"/>
      <c r="V1107" s="59"/>
      <c r="W1107" s="59"/>
      <c r="X1107" s="59"/>
      <c r="Y1107" s="59"/>
      <c r="Z1107" s="59"/>
      <c r="AA1107" s="59"/>
      <c r="AB1107" s="59"/>
      <c r="AC1107" s="59"/>
    </row>
    <row r="1108" ht="15.75" customHeight="1">
      <c r="A1108" s="298"/>
      <c r="B1108" s="299"/>
      <c r="C1108" s="299"/>
      <c r="D1108" s="299"/>
      <c r="E1108" s="300"/>
      <c r="F1108" s="299"/>
      <c r="G1108" s="299"/>
      <c r="H1108" s="301"/>
      <c r="I1108" s="301"/>
      <c r="J1108" s="301"/>
      <c r="K1108" s="301"/>
      <c r="L1108" s="299"/>
      <c r="M1108" s="299"/>
      <c r="N1108" s="299"/>
      <c r="O1108" s="299"/>
      <c r="P1108" s="299"/>
      <c r="Q1108" s="299"/>
      <c r="R1108" s="299"/>
      <c r="S1108" s="299"/>
      <c r="T1108" s="59"/>
      <c r="U1108" s="59"/>
      <c r="V1108" s="59"/>
      <c r="W1108" s="59"/>
      <c r="X1108" s="59"/>
      <c r="Y1108" s="59"/>
      <c r="Z1108" s="59"/>
      <c r="AA1108" s="59"/>
      <c r="AB1108" s="59"/>
      <c r="AC1108" s="59"/>
    </row>
    <row r="1109" ht="15.75" customHeight="1">
      <c r="A1109" s="298"/>
      <c r="B1109" s="299"/>
      <c r="C1109" s="299"/>
      <c r="D1109" s="299"/>
      <c r="E1109" s="300"/>
      <c r="F1109" s="299"/>
      <c r="G1109" s="299"/>
      <c r="H1109" s="301"/>
      <c r="I1109" s="301"/>
      <c r="J1109" s="301"/>
      <c r="K1109" s="301"/>
      <c r="L1109" s="299"/>
      <c r="M1109" s="299"/>
      <c r="N1109" s="299"/>
      <c r="O1109" s="299"/>
      <c r="P1109" s="299"/>
      <c r="Q1109" s="299"/>
      <c r="R1109" s="299"/>
      <c r="S1109" s="299"/>
      <c r="T1109" s="59"/>
      <c r="U1109" s="59"/>
      <c r="V1109" s="59"/>
      <c r="W1109" s="59"/>
      <c r="X1109" s="59"/>
      <c r="Y1109" s="59"/>
      <c r="Z1109" s="59"/>
      <c r="AA1109" s="59"/>
      <c r="AB1109" s="59"/>
      <c r="AC1109" s="59"/>
    </row>
    <row r="1110" ht="15.75" customHeight="1">
      <c r="A1110" s="298"/>
      <c r="B1110" s="299"/>
      <c r="C1110" s="299"/>
      <c r="D1110" s="299"/>
      <c r="E1110" s="300"/>
      <c r="F1110" s="299"/>
      <c r="G1110" s="299"/>
      <c r="H1110" s="301"/>
      <c r="I1110" s="301"/>
      <c r="J1110" s="301"/>
      <c r="K1110" s="301"/>
      <c r="L1110" s="299"/>
      <c r="M1110" s="299"/>
      <c r="N1110" s="299"/>
      <c r="O1110" s="299"/>
      <c r="P1110" s="299"/>
      <c r="Q1110" s="299"/>
      <c r="R1110" s="299"/>
      <c r="S1110" s="299"/>
      <c r="T1110" s="59"/>
      <c r="U1110" s="59"/>
      <c r="V1110" s="59"/>
      <c r="W1110" s="59"/>
      <c r="X1110" s="59"/>
      <c r="Y1110" s="59"/>
      <c r="Z1110" s="59"/>
      <c r="AA1110" s="59"/>
      <c r="AB1110" s="59"/>
      <c r="AC1110" s="59"/>
    </row>
    <row r="1111" ht="15.75" customHeight="1">
      <c r="A1111" s="298"/>
      <c r="B1111" s="299"/>
      <c r="C1111" s="299"/>
      <c r="D1111" s="299"/>
      <c r="E1111" s="300"/>
      <c r="F1111" s="299"/>
      <c r="G1111" s="299"/>
      <c r="H1111" s="301"/>
      <c r="I1111" s="301"/>
      <c r="J1111" s="301"/>
      <c r="K1111" s="301"/>
      <c r="L1111" s="299"/>
      <c r="M1111" s="299"/>
      <c r="N1111" s="299"/>
      <c r="O1111" s="299"/>
      <c r="P1111" s="299"/>
      <c r="Q1111" s="299"/>
      <c r="R1111" s="299"/>
      <c r="S1111" s="299"/>
      <c r="T1111" s="59"/>
      <c r="U1111" s="59"/>
      <c r="V1111" s="59"/>
      <c r="W1111" s="59"/>
      <c r="X1111" s="59"/>
      <c r="Y1111" s="59"/>
      <c r="Z1111" s="59"/>
      <c r="AA1111" s="59"/>
      <c r="AB1111" s="59"/>
      <c r="AC1111" s="59"/>
    </row>
    <row r="1112" ht="15.75" customHeight="1">
      <c r="A1112" s="298"/>
      <c r="B1112" s="299"/>
      <c r="C1112" s="299"/>
      <c r="D1112" s="299"/>
      <c r="E1112" s="300"/>
      <c r="F1112" s="299"/>
      <c r="G1112" s="299"/>
      <c r="H1112" s="301"/>
      <c r="I1112" s="301"/>
      <c r="J1112" s="301"/>
      <c r="K1112" s="301"/>
      <c r="L1112" s="299"/>
      <c r="M1112" s="299"/>
      <c r="N1112" s="299"/>
      <c r="O1112" s="299"/>
      <c r="P1112" s="299"/>
      <c r="Q1112" s="299"/>
      <c r="R1112" s="299"/>
      <c r="S1112" s="299"/>
      <c r="T1112" s="59"/>
      <c r="U1112" s="59"/>
      <c r="V1112" s="59"/>
      <c r="W1112" s="59"/>
      <c r="X1112" s="59"/>
      <c r="Y1112" s="59"/>
      <c r="Z1112" s="59"/>
      <c r="AA1112" s="59"/>
      <c r="AB1112" s="59"/>
      <c r="AC1112" s="59"/>
    </row>
    <row r="1113" ht="15.75" customHeight="1">
      <c r="A1113" s="298"/>
      <c r="B1113" s="299"/>
      <c r="C1113" s="299"/>
      <c r="D1113" s="299"/>
      <c r="E1113" s="300"/>
      <c r="F1113" s="299"/>
      <c r="G1113" s="299"/>
      <c r="H1113" s="301"/>
      <c r="I1113" s="301"/>
      <c r="J1113" s="301"/>
      <c r="K1113" s="301"/>
      <c r="L1113" s="299"/>
      <c r="M1113" s="299"/>
      <c r="N1113" s="299"/>
      <c r="O1113" s="299"/>
      <c r="P1113" s="299"/>
      <c r="Q1113" s="299"/>
      <c r="R1113" s="299"/>
      <c r="S1113" s="299"/>
      <c r="T1113" s="59"/>
      <c r="U1113" s="59"/>
      <c r="V1113" s="59"/>
      <c r="W1113" s="59"/>
      <c r="X1113" s="59"/>
      <c r="Y1113" s="59"/>
      <c r="Z1113" s="59"/>
      <c r="AA1113" s="59"/>
      <c r="AB1113" s="59"/>
      <c r="AC1113" s="59"/>
    </row>
    <row r="1114" ht="15.75" customHeight="1">
      <c r="A1114" s="298"/>
      <c r="B1114" s="299"/>
      <c r="C1114" s="299"/>
      <c r="D1114" s="299"/>
      <c r="E1114" s="300"/>
      <c r="F1114" s="299"/>
      <c r="G1114" s="299"/>
      <c r="H1114" s="301"/>
      <c r="I1114" s="301"/>
      <c r="J1114" s="301"/>
      <c r="K1114" s="301"/>
      <c r="L1114" s="299"/>
      <c r="M1114" s="299"/>
      <c r="N1114" s="299"/>
      <c r="O1114" s="299"/>
      <c r="P1114" s="299"/>
      <c r="Q1114" s="299"/>
      <c r="R1114" s="299"/>
      <c r="S1114" s="299"/>
      <c r="T1114" s="59"/>
      <c r="U1114" s="59"/>
      <c r="V1114" s="59"/>
      <c r="W1114" s="59"/>
      <c r="X1114" s="59"/>
      <c r="Y1114" s="59"/>
      <c r="Z1114" s="59"/>
      <c r="AA1114" s="59"/>
      <c r="AB1114" s="59"/>
      <c r="AC1114" s="59"/>
    </row>
    <row r="1115" ht="15.75" customHeight="1">
      <c r="A1115" s="298"/>
      <c r="B1115" s="299"/>
      <c r="C1115" s="299"/>
      <c r="D1115" s="299"/>
      <c r="E1115" s="300"/>
      <c r="F1115" s="299"/>
      <c r="G1115" s="299"/>
      <c r="H1115" s="301"/>
      <c r="I1115" s="301"/>
      <c r="J1115" s="301"/>
      <c r="K1115" s="301"/>
      <c r="L1115" s="299"/>
      <c r="M1115" s="299"/>
      <c r="N1115" s="299"/>
      <c r="O1115" s="299"/>
      <c r="P1115" s="299"/>
      <c r="Q1115" s="299"/>
      <c r="R1115" s="299"/>
      <c r="S1115" s="299"/>
      <c r="T1115" s="59"/>
      <c r="U1115" s="59"/>
      <c r="V1115" s="59"/>
      <c r="W1115" s="59"/>
      <c r="X1115" s="59"/>
      <c r="Y1115" s="59"/>
      <c r="Z1115" s="59"/>
      <c r="AA1115" s="59"/>
      <c r="AB1115" s="59"/>
      <c r="AC1115" s="59"/>
    </row>
    <row r="1116" ht="15.75" customHeight="1">
      <c r="A1116" s="298"/>
      <c r="B1116" s="299"/>
      <c r="C1116" s="299"/>
      <c r="D1116" s="299"/>
      <c r="E1116" s="300"/>
      <c r="F1116" s="299"/>
      <c r="G1116" s="299"/>
      <c r="H1116" s="301"/>
      <c r="I1116" s="301"/>
      <c r="J1116" s="301"/>
      <c r="K1116" s="301"/>
      <c r="L1116" s="299"/>
      <c r="M1116" s="299"/>
      <c r="N1116" s="299"/>
      <c r="O1116" s="299"/>
      <c r="P1116" s="299"/>
      <c r="Q1116" s="299"/>
      <c r="R1116" s="299"/>
      <c r="S1116" s="299"/>
      <c r="T1116" s="59"/>
      <c r="U1116" s="59"/>
      <c r="V1116" s="59"/>
      <c r="W1116" s="59"/>
      <c r="X1116" s="59"/>
      <c r="Y1116" s="59"/>
      <c r="Z1116" s="59"/>
      <c r="AA1116" s="59"/>
      <c r="AB1116" s="59"/>
      <c r="AC1116" s="59"/>
    </row>
    <row r="1117" ht="15.75" customHeight="1">
      <c r="A1117" s="298"/>
      <c r="B1117" s="299"/>
      <c r="C1117" s="299"/>
      <c r="D1117" s="299"/>
      <c r="E1117" s="300"/>
      <c r="F1117" s="299"/>
      <c r="G1117" s="299"/>
      <c r="H1117" s="301"/>
      <c r="I1117" s="301"/>
      <c r="J1117" s="301"/>
      <c r="K1117" s="301"/>
      <c r="L1117" s="299"/>
      <c r="M1117" s="299"/>
      <c r="N1117" s="299"/>
      <c r="O1117" s="299"/>
      <c r="P1117" s="299"/>
      <c r="Q1117" s="299"/>
      <c r="R1117" s="299"/>
      <c r="S1117" s="299"/>
      <c r="T1117" s="59"/>
      <c r="U1117" s="59"/>
      <c r="V1117" s="59"/>
      <c r="W1117" s="59"/>
      <c r="X1117" s="59"/>
      <c r="Y1117" s="59"/>
      <c r="Z1117" s="59"/>
      <c r="AA1117" s="59"/>
      <c r="AB1117" s="59"/>
      <c r="AC1117" s="59"/>
    </row>
    <row r="1118" ht="15.75" customHeight="1">
      <c r="A1118" s="298"/>
      <c r="B1118" s="299"/>
      <c r="C1118" s="299"/>
      <c r="D1118" s="299"/>
      <c r="E1118" s="300"/>
      <c r="F1118" s="299"/>
      <c r="G1118" s="299"/>
      <c r="H1118" s="301"/>
      <c r="I1118" s="301"/>
      <c r="J1118" s="301"/>
      <c r="K1118" s="301"/>
      <c r="L1118" s="299"/>
      <c r="M1118" s="299"/>
      <c r="N1118" s="299"/>
      <c r="O1118" s="299"/>
      <c r="P1118" s="299"/>
      <c r="Q1118" s="299"/>
      <c r="R1118" s="299"/>
      <c r="S1118" s="299"/>
      <c r="T1118" s="59"/>
      <c r="U1118" s="59"/>
      <c r="V1118" s="59"/>
      <c r="W1118" s="59"/>
      <c r="X1118" s="59"/>
      <c r="Y1118" s="59"/>
      <c r="Z1118" s="59"/>
      <c r="AA1118" s="59"/>
      <c r="AB1118" s="59"/>
      <c r="AC1118" s="59"/>
    </row>
    <row r="1119" ht="15.75" customHeight="1">
      <c r="A1119" s="298"/>
      <c r="B1119" s="299"/>
      <c r="C1119" s="299"/>
      <c r="D1119" s="299"/>
      <c r="E1119" s="300"/>
      <c r="F1119" s="299"/>
      <c r="G1119" s="299"/>
      <c r="H1119" s="301"/>
      <c r="I1119" s="301"/>
      <c r="J1119" s="301"/>
      <c r="K1119" s="301"/>
      <c r="L1119" s="299"/>
      <c r="M1119" s="299"/>
      <c r="N1119" s="299"/>
      <c r="O1119" s="299"/>
      <c r="P1119" s="299"/>
      <c r="Q1119" s="299"/>
      <c r="R1119" s="299"/>
      <c r="S1119" s="299"/>
      <c r="T1119" s="59"/>
      <c r="U1119" s="59"/>
      <c r="V1119" s="59"/>
      <c r="W1119" s="59"/>
      <c r="X1119" s="59"/>
      <c r="Y1119" s="59"/>
      <c r="Z1119" s="59"/>
      <c r="AA1119" s="59"/>
      <c r="AB1119" s="59"/>
      <c r="AC1119" s="59"/>
    </row>
    <row r="1120" ht="15.75" customHeight="1">
      <c r="A1120" s="298"/>
      <c r="B1120" s="299"/>
      <c r="C1120" s="299"/>
      <c r="D1120" s="299"/>
      <c r="E1120" s="300"/>
      <c r="F1120" s="299"/>
      <c r="G1120" s="299"/>
      <c r="H1120" s="301"/>
      <c r="I1120" s="301"/>
      <c r="J1120" s="301"/>
      <c r="K1120" s="301"/>
      <c r="L1120" s="299"/>
      <c r="M1120" s="299"/>
      <c r="N1120" s="299"/>
      <c r="O1120" s="299"/>
      <c r="P1120" s="299"/>
      <c r="Q1120" s="299"/>
      <c r="R1120" s="299"/>
      <c r="S1120" s="299"/>
      <c r="T1120" s="59"/>
      <c r="U1120" s="59"/>
      <c r="V1120" s="59"/>
      <c r="W1120" s="59"/>
      <c r="X1120" s="59"/>
      <c r="Y1120" s="59"/>
      <c r="Z1120" s="59"/>
      <c r="AA1120" s="59"/>
      <c r="AB1120" s="59"/>
      <c r="AC1120" s="59"/>
    </row>
    <row r="1121" ht="15.75" customHeight="1">
      <c r="A1121" s="298"/>
      <c r="B1121" s="299"/>
      <c r="C1121" s="299"/>
      <c r="D1121" s="299"/>
      <c r="E1121" s="300"/>
      <c r="F1121" s="299"/>
      <c r="G1121" s="299"/>
      <c r="H1121" s="301"/>
      <c r="I1121" s="301"/>
      <c r="J1121" s="301"/>
      <c r="K1121" s="301"/>
      <c r="L1121" s="299"/>
      <c r="M1121" s="299"/>
      <c r="N1121" s="299"/>
      <c r="O1121" s="299"/>
      <c r="P1121" s="299"/>
      <c r="Q1121" s="299"/>
      <c r="R1121" s="299"/>
      <c r="S1121" s="299"/>
      <c r="T1121" s="59"/>
      <c r="U1121" s="59"/>
      <c r="V1121" s="59"/>
      <c r="W1121" s="59"/>
      <c r="X1121" s="59"/>
      <c r="Y1121" s="59"/>
      <c r="Z1121" s="59"/>
      <c r="AA1121" s="59"/>
      <c r="AB1121" s="59"/>
      <c r="AC1121" s="59"/>
    </row>
    <row r="1122" ht="15.75" customHeight="1">
      <c r="A1122" s="298"/>
      <c r="B1122" s="299"/>
      <c r="C1122" s="299"/>
      <c r="D1122" s="299"/>
      <c r="E1122" s="300"/>
      <c r="F1122" s="299"/>
      <c r="G1122" s="299"/>
      <c r="H1122" s="301"/>
      <c r="I1122" s="301"/>
      <c r="J1122" s="301"/>
      <c r="K1122" s="301"/>
      <c r="L1122" s="299"/>
      <c r="M1122" s="299"/>
      <c r="N1122" s="299"/>
      <c r="O1122" s="299"/>
      <c r="P1122" s="299"/>
      <c r="Q1122" s="299"/>
      <c r="R1122" s="299"/>
      <c r="S1122" s="299"/>
      <c r="T1122" s="59"/>
      <c r="U1122" s="59"/>
      <c r="V1122" s="59"/>
      <c r="W1122" s="59"/>
      <c r="X1122" s="59"/>
      <c r="Y1122" s="59"/>
      <c r="Z1122" s="59"/>
      <c r="AA1122" s="59"/>
      <c r="AB1122" s="59"/>
      <c r="AC1122" s="59"/>
    </row>
    <row r="1123" ht="15.75" customHeight="1">
      <c r="A1123" s="298"/>
      <c r="B1123" s="299"/>
      <c r="C1123" s="299"/>
      <c r="D1123" s="299"/>
      <c r="E1123" s="300"/>
      <c r="F1123" s="299"/>
      <c r="G1123" s="299"/>
      <c r="H1123" s="301"/>
      <c r="I1123" s="301"/>
      <c r="J1123" s="301"/>
      <c r="K1123" s="301"/>
      <c r="L1123" s="299"/>
      <c r="M1123" s="299"/>
      <c r="N1123" s="299"/>
      <c r="O1123" s="299"/>
      <c r="P1123" s="299"/>
      <c r="Q1123" s="299"/>
      <c r="R1123" s="299"/>
      <c r="S1123" s="299"/>
      <c r="T1123" s="59"/>
      <c r="U1123" s="59"/>
      <c r="V1123" s="59"/>
      <c r="W1123" s="59"/>
      <c r="X1123" s="59"/>
      <c r="Y1123" s="59"/>
      <c r="Z1123" s="59"/>
      <c r="AA1123" s="59"/>
      <c r="AB1123" s="59"/>
      <c r="AC1123" s="59"/>
    </row>
    <row r="1124" ht="15.75" customHeight="1">
      <c r="A1124" s="298"/>
      <c r="B1124" s="299"/>
      <c r="C1124" s="299"/>
      <c r="D1124" s="299"/>
      <c r="E1124" s="300"/>
      <c r="F1124" s="299"/>
      <c r="G1124" s="299"/>
      <c r="H1124" s="301"/>
      <c r="I1124" s="301"/>
      <c r="J1124" s="301"/>
      <c r="K1124" s="301"/>
      <c r="L1124" s="299"/>
      <c r="M1124" s="299"/>
      <c r="N1124" s="299"/>
      <c r="O1124" s="299"/>
      <c r="P1124" s="299"/>
      <c r="Q1124" s="299"/>
      <c r="R1124" s="299"/>
      <c r="S1124" s="299"/>
      <c r="T1124" s="59"/>
      <c r="U1124" s="59"/>
      <c r="V1124" s="59"/>
      <c r="W1124" s="59"/>
      <c r="X1124" s="59"/>
      <c r="Y1124" s="59"/>
      <c r="Z1124" s="59"/>
      <c r="AA1124" s="59"/>
      <c r="AB1124" s="59"/>
      <c r="AC1124" s="59"/>
    </row>
    <row r="1125" ht="15.75" customHeight="1">
      <c r="A1125" s="298"/>
      <c r="B1125" s="299"/>
      <c r="C1125" s="299"/>
      <c r="D1125" s="299"/>
      <c r="E1125" s="300"/>
      <c r="F1125" s="299"/>
      <c r="G1125" s="299"/>
      <c r="H1125" s="301"/>
      <c r="I1125" s="301"/>
      <c r="J1125" s="301"/>
      <c r="K1125" s="301"/>
      <c r="L1125" s="299"/>
      <c r="M1125" s="299"/>
      <c r="N1125" s="299"/>
      <c r="O1125" s="299"/>
      <c r="P1125" s="299"/>
      <c r="Q1125" s="299"/>
      <c r="R1125" s="299"/>
      <c r="S1125" s="299"/>
      <c r="T1125" s="59"/>
      <c r="U1125" s="59"/>
      <c r="V1125" s="59"/>
      <c r="W1125" s="59"/>
      <c r="X1125" s="59"/>
      <c r="Y1125" s="59"/>
      <c r="Z1125" s="59"/>
      <c r="AA1125" s="59"/>
      <c r="AB1125" s="59"/>
      <c r="AC1125" s="59"/>
    </row>
    <row r="1126" ht="15.75" customHeight="1">
      <c r="A1126" s="298"/>
      <c r="B1126" s="299"/>
      <c r="C1126" s="299"/>
      <c r="D1126" s="299"/>
      <c r="E1126" s="300"/>
      <c r="F1126" s="299"/>
      <c r="G1126" s="299"/>
      <c r="H1126" s="301"/>
      <c r="I1126" s="301"/>
      <c r="J1126" s="301"/>
      <c r="K1126" s="301"/>
      <c r="L1126" s="299"/>
      <c r="M1126" s="299"/>
      <c r="N1126" s="299"/>
      <c r="O1126" s="299"/>
      <c r="P1126" s="299"/>
      <c r="Q1126" s="299"/>
      <c r="R1126" s="299"/>
      <c r="S1126" s="299"/>
      <c r="T1126" s="59"/>
      <c r="U1126" s="59"/>
      <c r="V1126" s="59"/>
      <c r="W1126" s="59"/>
      <c r="X1126" s="59"/>
      <c r="Y1126" s="59"/>
      <c r="Z1126" s="59"/>
      <c r="AA1126" s="59"/>
      <c r="AB1126" s="59"/>
      <c r="AC1126" s="59"/>
    </row>
    <row r="1127" ht="15.75" customHeight="1">
      <c r="A1127" s="298"/>
      <c r="B1127" s="299"/>
      <c r="C1127" s="299"/>
      <c r="D1127" s="299"/>
      <c r="E1127" s="300"/>
      <c r="F1127" s="299"/>
      <c r="G1127" s="299"/>
      <c r="H1127" s="301"/>
      <c r="I1127" s="301"/>
      <c r="J1127" s="301"/>
      <c r="K1127" s="301"/>
      <c r="L1127" s="299"/>
      <c r="M1127" s="299"/>
      <c r="N1127" s="299"/>
      <c r="O1127" s="299"/>
      <c r="P1127" s="299"/>
      <c r="Q1127" s="299"/>
      <c r="R1127" s="299"/>
      <c r="S1127" s="299"/>
      <c r="T1127" s="59"/>
      <c r="U1127" s="59"/>
      <c r="V1127" s="59"/>
      <c r="W1127" s="59"/>
      <c r="X1127" s="59"/>
      <c r="Y1127" s="59"/>
      <c r="Z1127" s="59"/>
      <c r="AA1127" s="59"/>
      <c r="AB1127" s="59"/>
      <c r="AC1127" s="59"/>
    </row>
    <row r="1128" ht="15.75" customHeight="1">
      <c r="A1128" s="298"/>
      <c r="B1128" s="299"/>
      <c r="C1128" s="299"/>
      <c r="D1128" s="299"/>
      <c r="E1128" s="300"/>
      <c r="F1128" s="299"/>
      <c r="G1128" s="299"/>
      <c r="H1128" s="301"/>
      <c r="I1128" s="301"/>
      <c r="J1128" s="301"/>
      <c r="K1128" s="301"/>
      <c r="L1128" s="299"/>
      <c r="M1128" s="299"/>
      <c r="N1128" s="299"/>
      <c r="O1128" s="299"/>
      <c r="P1128" s="299"/>
      <c r="Q1128" s="299"/>
      <c r="R1128" s="299"/>
      <c r="S1128" s="299"/>
      <c r="T1128" s="59"/>
      <c r="U1128" s="59"/>
      <c r="V1128" s="59"/>
      <c r="W1128" s="59"/>
      <c r="X1128" s="59"/>
      <c r="Y1128" s="59"/>
      <c r="Z1128" s="59"/>
      <c r="AA1128" s="59"/>
      <c r="AB1128" s="59"/>
      <c r="AC1128" s="59"/>
    </row>
    <row r="1129" ht="15.75" customHeight="1">
      <c r="A1129" s="298"/>
      <c r="B1129" s="299"/>
      <c r="C1129" s="299"/>
      <c r="D1129" s="299"/>
      <c r="E1129" s="300"/>
      <c r="F1129" s="299"/>
      <c r="G1129" s="299"/>
      <c r="H1129" s="301"/>
      <c r="I1129" s="301"/>
      <c r="J1129" s="301"/>
      <c r="K1129" s="301"/>
      <c r="L1129" s="299"/>
      <c r="M1129" s="299"/>
      <c r="N1129" s="299"/>
      <c r="O1129" s="299"/>
      <c r="P1129" s="299"/>
      <c r="Q1129" s="299"/>
      <c r="R1129" s="299"/>
      <c r="S1129" s="299"/>
      <c r="T1129" s="59"/>
      <c r="U1129" s="59"/>
      <c r="V1129" s="59"/>
      <c r="W1129" s="59"/>
      <c r="X1129" s="59"/>
      <c r="Y1129" s="59"/>
      <c r="Z1129" s="59"/>
      <c r="AA1129" s="59"/>
      <c r="AB1129" s="59"/>
      <c r="AC1129" s="59"/>
    </row>
    <row r="1130" ht="15.75" customHeight="1">
      <c r="A1130" s="298"/>
      <c r="B1130" s="299"/>
      <c r="C1130" s="299"/>
      <c r="D1130" s="299"/>
      <c r="E1130" s="300"/>
      <c r="F1130" s="299"/>
      <c r="G1130" s="299"/>
      <c r="H1130" s="301"/>
      <c r="I1130" s="301"/>
      <c r="J1130" s="301"/>
      <c r="K1130" s="301"/>
      <c r="L1130" s="299"/>
      <c r="M1130" s="299"/>
      <c r="N1130" s="299"/>
      <c r="O1130" s="299"/>
      <c r="P1130" s="299"/>
      <c r="Q1130" s="299"/>
      <c r="R1130" s="299"/>
      <c r="S1130" s="299"/>
      <c r="T1130" s="59"/>
      <c r="U1130" s="59"/>
      <c r="V1130" s="59"/>
      <c r="W1130" s="59"/>
      <c r="X1130" s="59"/>
      <c r="Y1130" s="59"/>
      <c r="Z1130" s="59"/>
      <c r="AA1130" s="59"/>
      <c r="AB1130" s="59"/>
      <c r="AC1130" s="59"/>
    </row>
    <row r="1131" ht="15.75" customHeight="1">
      <c r="A1131" s="298"/>
      <c r="B1131" s="299"/>
      <c r="C1131" s="299"/>
      <c r="D1131" s="299"/>
      <c r="E1131" s="300"/>
      <c r="F1131" s="299"/>
      <c r="G1131" s="299"/>
      <c r="H1131" s="301"/>
      <c r="I1131" s="301"/>
      <c r="J1131" s="301"/>
      <c r="K1131" s="301"/>
      <c r="L1131" s="299"/>
      <c r="M1131" s="299"/>
      <c r="N1131" s="299"/>
      <c r="O1131" s="299"/>
      <c r="P1131" s="299"/>
      <c r="Q1131" s="299"/>
      <c r="R1131" s="299"/>
      <c r="S1131" s="299"/>
      <c r="T1131" s="59"/>
      <c r="U1131" s="59"/>
      <c r="V1131" s="59"/>
      <c r="W1131" s="59"/>
      <c r="X1131" s="59"/>
      <c r="Y1131" s="59"/>
      <c r="Z1131" s="59"/>
      <c r="AA1131" s="59"/>
      <c r="AB1131" s="59"/>
      <c r="AC1131" s="59"/>
    </row>
    <row r="1132" ht="15.75" customHeight="1">
      <c r="A1132" s="298"/>
      <c r="B1132" s="299"/>
      <c r="C1132" s="299"/>
      <c r="D1132" s="299"/>
      <c r="E1132" s="300"/>
      <c r="F1132" s="299"/>
      <c r="G1132" s="299"/>
      <c r="H1132" s="301"/>
      <c r="I1132" s="301"/>
      <c r="J1132" s="301"/>
      <c r="K1132" s="301"/>
      <c r="L1132" s="299"/>
      <c r="M1132" s="299"/>
      <c r="N1132" s="299"/>
      <c r="O1132" s="299"/>
      <c r="P1132" s="299"/>
      <c r="Q1132" s="299"/>
      <c r="R1132" s="299"/>
      <c r="S1132" s="299"/>
      <c r="T1132" s="59"/>
      <c r="U1132" s="59"/>
      <c r="V1132" s="59"/>
      <c r="W1132" s="59"/>
      <c r="X1132" s="59"/>
      <c r="Y1132" s="59"/>
      <c r="Z1132" s="59"/>
      <c r="AA1132" s="59"/>
      <c r="AB1132" s="59"/>
      <c r="AC1132" s="59"/>
    </row>
    <row r="1133" ht="15.75" customHeight="1">
      <c r="A1133" s="298"/>
      <c r="B1133" s="299"/>
      <c r="C1133" s="299"/>
      <c r="D1133" s="299"/>
      <c r="E1133" s="300"/>
      <c r="F1133" s="299"/>
      <c r="G1133" s="299"/>
      <c r="H1133" s="301"/>
      <c r="I1133" s="301"/>
      <c r="J1133" s="301"/>
      <c r="K1133" s="301"/>
      <c r="L1133" s="299"/>
      <c r="M1133" s="299"/>
      <c r="N1133" s="299"/>
      <c r="O1133" s="299"/>
      <c r="P1133" s="299"/>
      <c r="Q1133" s="299"/>
      <c r="R1133" s="299"/>
      <c r="S1133" s="299"/>
      <c r="T1133" s="59"/>
      <c r="U1133" s="59"/>
      <c r="V1133" s="59"/>
      <c r="W1133" s="59"/>
      <c r="X1133" s="59"/>
      <c r="Y1133" s="59"/>
      <c r="Z1133" s="59"/>
      <c r="AA1133" s="59"/>
      <c r="AB1133" s="59"/>
      <c r="AC1133" s="59"/>
    </row>
    <row r="1134" ht="15.75" customHeight="1">
      <c r="A1134" s="298"/>
      <c r="B1134" s="299"/>
      <c r="C1134" s="299"/>
      <c r="D1134" s="299"/>
      <c r="E1134" s="300"/>
      <c r="F1134" s="299"/>
      <c r="G1134" s="299"/>
      <c r="H1134" s="301"/>
      <c r="I1134" s="301"/>
      <c r="J1134" s="301"/>
      <c r="K1134" s="301"/>
      <c r="L1134" s="299"/>
      <c r="M1134" s="299"/>
      <c r="N1134" s="299"/>
      <c r="O1134" s="299"/>
      <c r="P1134" s="299"/>
      <c r="Q1134" s="299"/>
      <c r="R1134" s="299"/>
      <c r="S1134" s="299"/>
      <c r="T1134" s="59"/>
      <c r="U1134" s="59"/>
      <c r="V1134" s="59"/>
      <c r="W1134" s="59"/>
      <c r="X1134" s="59"/>
      <c r="Y1134" s="59"/>
      <c r="Z1134" s="59"/>
      <c r="AA1134" s="59"/>
      <c r="AB1134" s="59"/>
      <c r="AC1134" s="59"/>
    </row>
    <row r="1135" ht="15.75" customHeight="1">
      <c r="A1135" s="298"/>
      <c r="B1135" s="299"/>
      <c r="C1135" s="299"/>
      <c r="D1135" s="299"/>
      <c r="E1135" s="300"/>
      <c r="F1135" s="299"/>
      <c r="G1135" s="299"/>
      <c r="H1135" s="301"/>
      <c r="I1135" s="301"/>
      <c r="J1135" s="301"/>
      <c r="K1135" s="301"/>
      <c r="L1135" s="299"/>
      <c r="M1135" s="299"/>
      <c r="N1135" s="299"/>
      <c r="O1135" s="299"/>
      <c r="P1135" s="299"/>
      <c r="Q1135" s="299"/>
      <c r="R1135" s="299"/>
      <c r="S1135" s="299"/>
      <c r="T1135" s="59"/>
      <c r="U1135" s="59"/>
      <c r="V1135" s="59"/>
      <c r="W1135" s="59"/>
      <c r="X1135" s="59"/>
      <c r="Y1135" s="59"/>
      <c r="Z1135" s="59"/>
      <c r="AA1135" s="59"/>
      <c r="AB1135" s="59"/>
      <c r="AC1135" s="59"/>
    </row>
    <row r="1136" ht="15.75" customHeight="1">
      <c r="A1136" s="298"/>
      <c r="B1136" s="299"/>
      <c r="C1136" s="299"/>
      <c r="D1136" s="299"/>
      <c r="E1136" s="300"/>
      <c r="F1136" s="299"/>
      <c r="G1136" s="299"/>
      <c r="H1136" s="301"/>
      <c r="I1136" s="301"/>
      <c r="J1136" s="301"/>
      <c r="K1136" s="301"/>
      <c r="L1136" s="299"/>
      <c r="M1136" s="299"/>
      <c r="N1136" s="299"/>
      <c r="O1136" s="299"/>
      <c r="P1136" s="299"/>
      <c r="Q1136" s="299"/>
      <c r="R1136" s="299"/>
      <c r="S1136" s="299"/>
      <c r="T1136" s="59"/>
      <c r="U1136" s="59"/>
      <c r="V1136" s="59"/>
      <c r="W1136" s="59"/>
      <c r="X1136" s="59"/>
      <c r="Y1136" s="59"/>
      <c r="Z1136" s="59"/>
      <c r="AA1136" s="59"/>
      <c r="AB1136" s="59"/>
      <c r="AC1136" s="59"/>
    </row>
    <row r="1137" ht="15.75" customHeight="1">
      <c r="A1137" s="298"/>
      <c r="B1137" s="299"/>
      <c r="C1137" s="299"/>
      <c r="D1137" s="299"/>
      <c r="E1137" s="300"/>
      <c r="F1137" s="299"/>
      <c r="G1137" s="299"/>
      <c r="H1137" s="301"/>
      <c r="I1137" s="301"/>
      <c r="J1137" s="301"/>
      <c r="K1137" s="301"/>
      <c r="L1137" s="299"/>
      <c r="M1137" s="299"/>
      <c r="N1137" s="299"/>
      <c r="O1137" s="299"/>
      <c r="P1137" s="299"/>
      <c r="Q1137" s="299"/>
      <c r="R1137" s="299"/>
      <c r="S1137" s="299"/>
      <c r="T1137" s="59"/>
      <c r="U1137" s="59"/>
      <c r="V1137" s="59"/>
      <c r="W1137" s="59"/>
      <c r="X1137" s="59"/>
      <c r="Y1137" s="59"/>
      <c r="Z1137" s="59"/>
      <c r="AA1137" s="59"/>
      <c r="AB1137" s="59"/>
      <c r="AC1137" s="59"/>
    </row>
    <row r="1138" ht="15.75" customHeight="1">
      <c r="A1138" s="298"/>
      <c r="B1138" s="299"/>
      <c r="C1138" s="299"/>
      <c r="D1138" s="299"/>
      <c r="E1138" s="300"/>
      <c r="F1138" s="299"/>
      <c r="G1138" s="299"/>
      <c r="H1138" s="301"/>
      <c r="I1138" s="301"/>
      <c r="J1138" s="301"/>
      <c r="K1138" s="301"/>
      <c r="L1138" s="299"/>
      <c r="M1138" s="299"/>
      <c r="N1138" s="299"/>
      <c r="O1138" s="299"/>
      <c r="P1138" s="299"/>
      <c r="Q1138" s="299"/>
      <c r="R1138" s="299"/>
      <c r="S1138" s="299"/>
      <c r="T1138" s="59"/>
      <c r="U1138" s="59"/>
      <c r="V1138" s="59"/>
      <c r="W1138" s="59"/>
      <c r="X1138" s="59"/>
      <c r="Y1138" s="59"/>
      <c r="Z1138" s="59"/>
      <c r="AA1138" s="59"/>
      <c r="AB1138" s="59"/>
      <c r="AC1138" s="59"/>
    </row>
    <row r="1139" ht="15.75" customHeight="1">
      <c r="A1139" s="298"/>
      <c r="B1139" s="299"/>
      <c r="C1139" s="299"/>
      <c r="D1139" s="299"/>
      <c r="E1139" s="300"/>
      <c r="F1139" s="299"/>
      <c r="G1139" s="299"/>
      <c r="H1139" s="301"/>
      <c r="I1139" s="301"/>
      <c r="J1139" s="301"/>
      <c r="K1139" s="301"/>
      <c r="L1139" s="299"/>
      <c r="M1139" s="299"/>
      <c r="N1139" s="299"/>
      <c r="O1139" s="299"/>
      <c r="P1139" s="299"/>
      <c r="Q1139" s="299"/>
      <c r="R1139" s="299"/>
      <c r="S1139" s="299"/>
      <c r="T1139" s="59"/>
      <c r="U1139" s="59"/>
      <c r="V1139" s="59"/>
      <c r="W1139" s="59"/>
      <c r="X1139" s="59"/>
      <c r="Y1139" s="59"/>
      <c r="Z1139" s="59"/>
      <c r="AA1139" s="59"/>
      <c r="AB1139" s="59"/>
      <c r="AC1139" s="59"/>
    </row>
    <row r="1140" ht="15.75" customHeight="1">
      <c r="A1140" s="298"/>
      <c r="B1140" s="299"/>
      <c r="C1140" s="299"/>
      <c r="D1140" s="299"/>
      <c r="E1140" s="300"/>
      <c r="F1140" s="299"/>
      <c r="G1140" s="299"/>
      <c r="H1140" s="301"/>
      <c r="I1140" s="301"/>
      <c r="J1140" s="301"/>
      <c r="K1140" s="301"/>
      <c r="L1140" s="299"/>
      <c r="M1140" s="299"/>
      <c r="N1140" s="299"/>
      <c r="O1140" s="299"/>
      <c r="P1140" s="299"/>
      <c r="Q1140" s="299"/>
      <c r="R1140" s="299"/>
      <c r="S1140" s="299"/>
      <c r="T1140" s="59"/>
      <c r="U1140" s="59"/>
      <c r="V1140" s="59"/>
      <c r="W1140" s="59"/>
      <c r="X1140" s="59"/>
      <c r="Y1140" s="59"/>
      <c r="Z1140" s="59"/>
      <c r="AA1140" s="59"/>
      <c r="AB1140" s="59"/>
      <c r="AC1140" s="59"/>
    </row>
    <row r="1141" ht="15.75" customHeight="1">
      <c r="A1141" s="298"/>
      <c r="B1141" s="299"/>
      <c r="C1141" s="299"/>
      <c r="D1141" s="299"/>
      <c r="E1141" s="300"/>
      <c r="F1141" s="299"/>
      <c r="G1141" s="299"/>
      <c r="H1141" s="301"/>
      <c r="I1141" s="301"/>
      <c r="J1141" s="301"/>
      <c r="K1141" s="301"/>
      <c r="L1141" s="299"/>
      <c r="M1141" s="299"/>
      <c r="N1141" s="299"/>
      <c r="O1141" s="299"/>
      <c r="P1141" s="299"/>
      <c r="Q1141" s="299"/>
      <c r="R1141" s="299"/>
      <c r="S1141" s="299"/>
      <c r="T1141" s="59"/>
      <c r="U1141" s="59"/>
      <c r="V1141" s="59"/>
      <c r="W1141" s="59"/>
      <c r="X1141" s="59"/>
      <c r="Y1141" s="59"/>
      <c r="Z1141" s="59"/>
      <c r="AA1141" s="59"/>
      <c r="AB1141" s="59"/>
      <c r="AC1141" s="59"/>
    </row>
    <row r="1142" ht="15.75" customHeight="1">
      <c r="A1142" s="298"/>
      <c r="B1142" s="299"/>
      <c r="C1142" s="299"/>
      <c r="D1142" s="299"/>
      <c r="E1142" s="300"/>
      <c r="F1142" s="299"/>
      <c r="G1142" s="299"/>
      <c r="H1142" s="301"/>
      <c r="I1142" s="301"/>
      <c r="J1142" s="301"/>
      <c r="K1142" s="301"/>
      <c r="L1142" s="299"/>
      <c r="M1142" s="299"/>
      <c r="N1142" s="299"/>
      <c r="O1142" s="299"/>
      <c r="P1142" s="299"/>
      <c r="Q1142" s="299"/>
      <c r="R1142" s="299"/>
      <c r="S1142" s="299"/>
      <c r="T1142" s="59"/>
      <c r="U1142" s="59"/>
      <c r="V1142" s="59"/>
      <c r="W1142" s="59"/>
      <c r="X1142" s="59"/>
      <c r="Y1142" s="59"/>
      <c r="Z1142" s="59"/>
      <c r="AA1142" s="59"/>
      <c r="AB1142" s="59"/>
      <c r="AC1142" s="59"/>
    </row>
    <row r="1143" ht="15.75" customHeight="1">
      <c r="A1143" s="298"/>
      <c r="B1143" s="299"/>
      <c r="C1143" s="299"/>
      <c r="D1143" s="299"/>
      <c r="E1143" s="300"/>
      <c r="F1143" s="299"/>
      <c r="G1143" s="299"/>
      <c r="H1143" s="301"/>
      <c r="I1143" s="301"/>
      <c r="J1143" s="301"/>
      <c r="K1143" s="301"/>
      <c r="L1143" s="299"/>
      <c r="M1143" s="299"/>
      <c r="N1143" s="299"/>
      <c r="O1143" s="299"/>
      <c r="P1143" s="299"/>
      <c r="Q1143" s="299"/>
      <c r="R1143" s="299"/>
      <c r="S1143" s="299"/>
      <c r="T1143" s="59"/>
      <c r="U1143" s="59"/>
      <c r="V1143" s="59"/>
      <c r="W1143" s="59"/>
      <c r="X1143" s="59"/>
      <c r="Y1143" s="59"/>
      <c r="Z1143" s="59"/>
      <c r="AA1143" s="59"/>
      <c r="AB1143" s="59"/>
      <c r="AC1143" s="59"/>
    </row>
    <row r="1144" ht="15.75" customHeight="1">
      <c r="A1144" s="298"/>
      <c r="B1144" s="299"/>
      <c r="C1144" s="299"/>
      <c r="D1144" s="299"/>
      <c r="E1144" s="300"/>
      <c r="F1144" s="299"/>
      <c r="G1144" s="299"/>
      <c r="H1144" s="301"/>
      <c r="I1144" s="301"/>
      <c r="J1144" s="301"/>
      <c r="K1144" s="301"/>
      <c r="L1144" s="299"/>
      <c r="M1144" s="299"/>
      <c r="N1144" s="299"/>
      <c r="O1144" s="299"/>
      <c r="P1144" s="299"/>
      <c r="Q1144" s="299"/>
      <c r="R1144" s="299"/>
      <c r="S1144" s="299"/>
      <c r="T1144" s="59"/>
      <c r="U1144" s="59"/>
      <c r="V1144" s="59"/>
      <c r="W1144" s="59"/>
      <c r="X1144" s="59"/>
      <c r="Y1144" s="59"/>
      <c r="Z1144" s="59"/>
      <c r="AA1144" s="59"/>
      <c r="AB1144" s="59"/>
      <c r="AC1144" s="59"/>
    </row>
    <row r="1145" ht="15.75" customHeight="1">
      <c r="A1145" s="298"/>
      <c r="B1145" s="299"/>
      <c r="C1145" s="299"/>
      <c r="D1145" s="299"/>
      <c r="E1145" s="300"/>
      <c r="F1145" s="299"/>
      <c r="G1145" s="299"/>
      <c r="H1145" s="301"/>
      <c r="I1145" s="301"/>
      <c r="J1145" s="301"/>
      <c r="K1145" s="301"/>
      <c r="L1145" s="299"/>
      <c r="M1145" s="299"/>
      <c r="N1145" s="299"/>
      <c r="O1145" s="299"/>
      <c r="P1145" s="299"/>
      <c r="Q1145" s="299"/>
      <c r="R1145" s="299"/>
      <c r="S1145" s="299"/>
      <c r="T1145" s="59"/>
      <c r="U1145" s="59"/>
      <c r="V1145" s="59"/>
      <c r="W1145" s="59"/>
      <c r="X1145" s="59"/>
      <c r="Y1145" s="59"/>
      <c r="Z1145" s="59"/>
      <c r="AA1145" s="59"/>
      <c r="AB1145" s="59"/>
      <c r="AC1145" s="59"/>
    </row>
    <row r="1146" ht="15.75" customHeight="1">
      <c r="A1146" s="298"/>
      <c r="B1146" s="299"/>
      <c r="C1146" s="299"/>
      <c r="D1146" s="299"/>
      <c r="E1146" s="300"/>
      <c r="F1146" s="299"/>
      <c r="G1146" s="299"/>
      <c r="H1146" s="301"/>
      <c r="I1146" s="301"/>
      <c r="J1146" s="301"/>
      <c r="K1146" s="301"/>
      <c r="L1146" s="299"/>
      <c r="M1146" s="299"/>
      <c r="N1146" s="299"/>
      <c r="O1146" s="299"/>
      <c r="P1146" s="299"/>
      <c r="Q1146" s="299"/>
      <c r="R1146" s="299"/>
      <c r="S1146" s="299"/>
      <c r="T1146" s="59"/>
      <c r="U1146" s="59"/>
      <c r="V1146" s="59"/>
      <c r="W1146" s="59"/>
      <c r="X1146" s="59"/>
      <c r="Y1146" s="59"/>
      <c r="Z1146" s="59"/>
      <c r="AA1146" s="59"/>
      <c r="AB1146" s="59"/>
      <c r="AC1146" s="59"/>
    </row>
    <row r="1147" ht="15.75" customHeight="1">
      <c r="A1147" s="298"/>
      <c r="B1147" s="299"/>
      <c r="C1147" s="299"/>
      <c r="D1147" s="299"/>
      <c r="E1147" s="300"/>
      <c r="F1147" s="299"/>
      <c r="G1147" s="299"/>
      <c r="H1147" s="301"/>
      <c r="I1147" s="301"/>
      <c r="J1147" s="301"/>
      <c r="K1147" s="301"/>
      <c r="L1147" s="299"/>
      <c r="M1147" s="299"/>
      <c r="N1147" s="299"/>
      <c r="O1147" s="299"/>
      <c r="P1147" s="299"/>
      <c r="Q1147" s="299"/>
      <c r="R1147" s="299"/>
      <c r="S1147" s="299"/>
      <c r="T1147" s="59"/>
      <c r="U1147" s="59"/>
      <c r="V1147" s="59"/>
      <c r="W1147" s="59"/>
      <c r="X1147" s="59"/>
      <c r="Y1147" s="59"/>
      <c r="Z1147" s="59"/>
      <c r="AA1147" s="59"/>
      <c r="AB1147" s="59"/>
      <c r="AC1147" s="59"/>
    </row>
    <row r="1148" ht="15.75" customHeight="1">
      <c r="A1148" s="298"/>
      <c r="B1148" s="299"/>
      <c r="C1148" s="299"/>
      <c r="D1148" s="299"/>
      <c r="E1148" s="300"/>
      <c r="F1148" s="299"/>
      <c r="G1148" s="299"/>
      <c r="H1148" s="301"/>
      <c r="I1148" s="301"/>
      <c r="J1148" s="301"/>
      <c r="K1148" s="301"/>
      <c r="L1148" s="299"/>
      <c r="M1148" s="299"/>
      <c r="N1148" s="299"/>
      <c r="O1148" s="299"/>
      <c r="P1148" s="299"/>
      <c r="Q1148" s="299"/>
      <c r="R1148" s="299"/>
      <c r="S1148" s="299"/>
      <c r="T1148" s="59"/>
      <c r="U1148" s="59"/>
      <c r="V1148" s="59"/>
      <c r="W1148" s="59"/>
      <c r="X1148" s="59"/>
      <c r="Y1148" s="59"/>
      <c r="Z1148" s="59"/>
      <c r="AA1148" s="59"/>
      <c r="AB1148" s="59"/>
      <c r="AC1148" s="59"/>
    </row>
    <row r="1149" ht="15.75" customHeight="1">
      <c r="A1149" s="298"/>
      <c r="B1149" s="299"/>
      <c r="C1149" s="299"/>
      <c r="D1149" s="299"/>
      <c r="E1149" s="300"/>
      <c r="F1149" s="299"/>
      <c r="G1149" s="299"/>
      <c r="H1149" s="301"/>
      <c r="I1149" s="301"/>
      <c r="J1149" s="301"/>
      <c r="K1149" s="301"/>
      <c r="L1149" s="299"/>
      <c r="M1149" s="299"/>
      <c r="N1149" s="299"/>
      <c r="O1149" s="299"/>
      <c r="P1149" s="299"/>
      <c r="Q1149" s="299"/>
      <c r="R1149" s="299"/>
      <c r="S1149" s="299"/>
      <c r="T1149" s="59"/>
      <c r="U1149" s="59"/>
      <c r="V1149" s="59"/>
      <c r="W1149" s="59"/>
      <c r="X1149" s="59"/>
      <c r="Y1149" s="59"/>
      <c r="Z1149" s="59"/>
      <c r="AA1149" s="59"/>
      <c r="AB1149" s="59"/>
      <c r="AC1149" s="59"/>
    </row>
    <row r="1150" ht="15.75" customHeight="1">
      <c r="A1150" s="298"/>
      <c r="B1150" s="299"/>
      <c r="C1150" s="299"/>
      <c r="D1150" s="299"/>
      <c r="E1150" s="300"/>
      <c r="F1150" s="299"/>
      <c r="G1150" s="299"/>
      <c r="H1150" s="301"/>
      <c r="I1150" s="301"/>
      <c r="J1150" s="301"/>
      <c r="K1150" s="301"/>
      <c r="L1150" s="299"/>
      <c r="M1150" s="299"/>
      <c r="N1150" s="299"/>
      <c r="O1150" s="299"/>
      <c r="P1150" s="299"/>
      <c r="Q1150" s="299"/>
      <c r="R1150" s="299"/>
      <c r="S1150" s="299"/>
      <c r="T1150" s="59"/>
      <c r="U1150" s="59"/>
      <c r="V1150" s="59"/>
      <c r="W1150" s="59"/>
      <c r="X1150" s="59"/>
      <c r="Y1150" s="59"/>
      <c r="Z1150" s="59"/>
      <c r="AA1150" s="59"/>
      <c r="AB1150" s="59"/>
      <c r="AC1150" s="59"/>
    </row>
    <row r="1151" ht="15.75" customHeight="1">
      <c r="A1151" s="298"/>
      <c r="B1151" s="299"/>
      <c r="C1151" s="299"/>
      <c r="D1151" s="299"/>
      <c r="E1151" s="300"/>
      <c r="F1151" s="299"/>
      <c r="G1151" s="299"/>
      <c r="H1151" s="301"/>
      <c r="I1151" s="301"/>
      <c r="J1151" s="301"/>
      <c r="K1151" s="301"/>
      <c r="L1151" s="299"/>
      <c r="M1151" s="299"/>
      <c r="N1151" s="299"/>
      <c r="O1151" s="299"/>
      <c r="P1151" s="299"/>
      <c r="Q1151" s="299"/>
      <c r="R1151" s="299"/>
      <c r="S1151" s="299"/>
      <c r="T1151" s="59"/>
      <c r="U1151" s="59"/>
      <c r="V1151" s="59"/>
      <c r="W1151" s="59"/>
      <c r="X1151" s="59"/>
      <c r="Y1151" s="59"/>
      <c r="Z1151" s="59"/>
      <c r="AA1151" s="59"/>
      <c r="AB1151" s="59"/>
      <c r="AC1151" s="59"/>
    </row>
    <row r="1152" ht="15.75" customHeight="1">
      <c r="A1152" s="298"/>
      <c r="B1152" s="299"/>
      <c r="C1152" s="299"/>
      <c r="D1152" s="299"/>
      <c r="E1152" s="300"/>
      <c r="F1152" s="299"/>
      <c r="G1152" s="299"/>
      <c r="H1152" s="301"/>
      <c r="I1152" s="301"/>
      <c r="J1152" s="301"/>
      <c r="K1152" s="301"/>
      <c r="L1152" s="299"/>
      <c r="M1152" s="299"/>
      <c r="N1152" s="299"/>
      <c r="O1152" s="299"/>
      <c r="P1152" s="299"/>
      <c r="Q1152" s="299"/>
      <c r="R1152" s="299"/>
      <c r="S1152" s="299"/>
      <c r="T1152" s="59"/>
      <c r="U1152" s="59"/>
      <c r="V1152" s="59"/>
      <c r="W1152" s="59"/>
      <c r="X1152" s="59"/>
      <c r="Y1152" s="59"/>
      <c r="Z1152" s="59"/>
      <c r="AA1152" s="59"/>
      <c r="AB1152" s="59"/>
      <c r="AC1152" s="59"/>
    </row>
    <row r="1153" ht="15.75" customHeight="1">
      <c r="A1153" s="298"/>
      <c r="B1153" s="299"/>
      <c r="C1153" s="299"/>
      <c r="D1153" s="299"/>
      <c r="E1153" s="300"/>
      <c r="F1153" s="299"/>
      <c r="G1153" s="299"/>
      <c r="H1153" s="301"/>
      <c r="I1153" s="301"/>
      <c r="J1153" s="301"/>
      <c r="K1153" s="301"/>
      <c r="L1153" s="299"/>
      <c r="M1153" s="299"/>
      <c r="N1153" s="299"/>
      <c r="O1153" s="299"/>
      <c r="P1153" s="299"/>
      <c r="Q1153" s="299"/>
      <c r="R1153" s="299"/>
      <c r="S1153" s="299"/>
      <c r="T1153" s="59"/>
      <c r="U1153" s="59"/>
      <c r="V1153" s="59"/>
      <c r="W1153" s="59"/>
      <c r="X1153" s="59"/>
      <c r="Y1153" s="59"/>
      <c r="Z1153" s="59"/>
      <c r="AA1153" s="59"/>
      <c r="AB1153" s="59"/>
      <c r="AC1153" s="59"/>
    </row>
    <row r="1154" ht="15.75" customHeight="1">
      <c r="A1154" s="298"/>
      <c r="B1154" s="299"/>
      <c r="C1154" s="299"/>
      <c r="D1154" s="299"/>
      <c r="E1154" s="300"/>
      <c r="F1154" s="299"/>
      <c r="G1154" s="299"/>
      <c r="H1154" s="301"/>
      <c r="I1154" s="301"/>
      <c r="J1154" s="301"/>
      <c r="K1154" s="301"/>
      <c r="L1154" s="299"/>
      <c r="M1154" s="299"/>
      <c r="N1154" s="299"/>
      <c r="O1154" s="299"/>
      <c r="P1154" s="299"/>
      <c r="Q1154" s="299"/>
      <c r="R1154" s="299"/>
      <c r="S1154" s="299"/>
      <c r="T1154" s="59"/>
      <c r="U1154" s="59"/>
      <c r="V1154" s="59"/>
      <c r="W1154" s="59"/>
      <c r="X1154" s="59"/>
      <c r="Y1154" s="59"/>
      <c r="Z1154" s="59"/>
      <c r="AA1154" s="59"/>
      <c r="AB1154" s="59"/>
      <c r="AC1154" s="59"/>
    </row>
    <row r="1155" ht="15.75" customHeight="1">
      <c r="A1155" s="298"/>
      <c r="B1155" s="299"/>
      <c r="C1155" s="299"/>
      <c r="D1155" s="299"/>
      <c r="E1155" s="300"/>
      <c r="F1155" s="299"/>
      <c r="G1155" s="299"/>
      <c r="H1155" s="301"/>
      <c r="I1155" s="301"/>
      <c r="J1155" s="301"/>
      <c r="K1155" s="301"/>
      <c r="L1155" s="299"/>
      <c r="M1155" s="299"/>
      <c r="N1155" s="299"/>
      <c r="O1155" s="299"/>
      <c r="P1155" s="299"/>
      <c r="Q1155" s="299"/>
      <c r="R1155" s="299"/>
      <c r="S1155" s="299"/>
      <c r="T1155" s="59"/>
      <c r="U1155" s="59"/>
      <c r="V1155" s="59"/>
      <c r="W1155" s="59"/>
      <c r="X1155" s="59"/>
      <c r="Y1155" s="59"/>
      <c r="Z1155" s="59"/>
      <c r="AA1155" s="59"/>
      <c r="AB1155" s="59"/>
      <c r="AC1155" s="59"/>
    </row>
    <row r="1156" ht="15.75" customHeight="1">
      <c r="A1156" s="298"/>
      <c r="B1156" s="299"/>
      <c r="C1156" s="299"/>
      <c r="D1156" s="299"/>
      <c r="E1156" s="300"/>
      <c r="F1156" s="299"/>
      <c r="G1156" s="299"/>
      <c r="H1156" s="301"/>
      <c r="I1156" s="301"/>
      <c r="J1156" s="301"/>
      <c r="K1156" s="301"/>
      <c r="L1156" s="299"/>
      <c r="M1156" s="299"/>
      <c r="N1156" s="299"/>
      <c r="O1156" s="299"/>
      <c r="P1156" s="299"/>
      <c r="Q1156" s="299"/>
      <c r="R1156" s="299"/>
      <c r="S1156" s="299"/>
      <c r="T1156" s="59"/>
      <c r="U1156" s="59"/>
      <c r="V1156" s="59"/>
      <c r="W1156" s="59"/>
      <c r="X1156" s="59"/>
      <c r="Y1156" s="59"/>
      <c r="Z1156" s="59"/>
      <c r="AA1156" s="59"/>
      <c r="AB1156" s="59"/>
      <c r="AC1156" s="59"/>
    </row>
    <row r="1157" ht="15.75" customHeight="1">
      <c r="A1157" s="298"/>
      <c r="B1157" s="299"/>
      <c r="C1157" s="299"/>
      <c r="D1157" s="299"/>
      <c r="E1157" s="300"/>
      <c r="F1157" s="299"/>
      <c r="G1157" s="299"/>
      <c r="H1157" s="301"/>
      <c r="I1157" s="301"/>
      <c r="J1157" s="301"/>
      <c r="K1157" s="301"/>
      <c r="L1157" s="299"/>
      <c r="M1157" s="299"/>
      <c r="N1157" s="299"/>
      <c r="O1157" s="299"/>
      <c r="P1157" s="299"/>
      <c r="Q1157" s="299"/>
      <c r="R1157" s="299"/>
      <c r="S1157" s="299"/>
      <c r="T1157" s="59"/>
      <c r="U1157" s="59"/>
      <c r="V1157" s="59"/>
      <c r="W1157" s="59"/>
      <c r="X1157" s="59"/>
      <c r="Y1157" s="59"/>
      <c r="Z1157" s="59"/>
      <c r="AA1157" s="59"/>
      <c r="AB1157" s="59"/>
      <c r="AC1157" s="59"/>
    </row>
    <row r="1158" ht="15.75" customHeight="1">
      <c r="A1158" s="298"/>
      <c r="B1158" s="299"/>
      <c r="C1158" s="299"/>
      <c r="D1158" s="299"/>
      <c r="E1158" s="300"/>
      <c r="F1158" s="299"/>
      <c r="G1158" s="299"/>
      <c r="H1158" s="301"/>
      <c r="I1158" s="301"/>
      <c r="J1158" s="301"/>
      <c r="K1158" s="301"/>
      <c r="L1158" s="299"/>
      <c r="M1158" s="299"/>
      <c r="N1158" s="299"/>
      <c r="O1158" s="299"/>
      <c r="P1158" s="299"/>
      <c r="Q1158" s="299"/>
      <c r="R1158" s="299"/>
      <c r="S1158" s="299"/>
      <c r="T1158" s="59"/>
      <c r="U1158" s="59"/>
      <c r="V1158" s="59"/>
      <c r="W1158" s="59"/>
      <c r="X1158" s="59"/>
      <c r="Y1158" s="59"/>
      <c r="Z1158" s="59"/>
      <c r="AA1158" s="59"/>
      <c r="AB1158" s="59"/>
      <c r="AC1158" s="59"/>
    </row>
    <row r="1159" ht="15.75" customHeight="1">
      <c r="A1159" s="298"/>
      <c r="B1159" s="299"/>
      <c r="C1159" s="299"/>
      <c r="D1159" s="299"/>
      <c r="E1159" s="300"/>
      <c r="F1159" s="299"/>
      <c r="G1159" s="299"/>
      <c r="H1159" s="301"/>
      <c r="I1159" s="301"/>
      <c r="J1159" s="301"/>
      <c r="K1159" s="301"/>
      <c r="L1159" s="299"/>
      <c r="M1159" s="299"/>
      <c r="N1159" s="299"/>
      <c r="O1159" s="299"/>
      <c r="P1159" s="299"/>
      <c r="Q1159" s="299"/>
      <c r="R1159" s="299"/>
      <c r="S1159" s="299"/>
      <c r="T1159" s="59"/>
      <c r="U1159" s="59"/>
      <c r="V1159" s="59"/>
      <c r="W1159" s="59"/>
      <c r="X1159" s="59"/>
      <c r="Y1159" s="59"/>
      <c r="Z1159" s="59"/>
      <c r="AA1159" s="59"/>
      <c r="AB1159" s="59"/>
      <c r="AC1159" s="59"/>
    </row>
    <row r="1160" ht="15.75" customHeight="1">
      <c r="A1160" s="298"/>
      <c r="B1160" s="299"/>
      <c r="C1160" s="299"/>
      <c r="D1160" s="299"/>
      <c r="E1160" s="300"/>
      <c r="F1160" s="299"/>
      <c r="G1160" s="299"/>
      <c r="H1160" s="301"/>
      <c r="I1160" s="301"/>
      <c r="J1160" s="301"/>
      <c r="K1160" s="301"/>
      <c r="L1160" s="299"/>
      <c r="M1160" s="299"/>
      <c r="N1160" s="299"/>
      <c r="O1160" s="299"/>
      <c r="P1160" s="299"/>
      <c r="Q1160" s="299"/>
      <c r="R1160" s="299"/>
      <c r="S1160" s="299"/>
      <c r="T1160" s="59"/>
      <c r="U1160" s="59"/>
      <c r="V1160" s="59"/>
      <c r="W1160" s="59"/>
      <c r="X1160" s="59"/>
      <c r="Y1160" s="59"/>
      <c r="Z1160" s="59"/>
      <c r="AA1160" s="59"/>
      <c r="AB1160" s="59"/>
      <c r="AC1160" s="59"/>
    </row>
    <row r="1161" ht="15.75" customHeight="1">
      <c r="A1161" s="298"/>
      <c r="B1161" s="299"/>
      <c r="C1161" s="299"/>
      <c r="D1161" s="299"/>
      <c r="E1161" s="300"/>
      <c r="F1161" s="299"/>
      <c r="G1161" s="299"/>
      <c r="H1161" s="301"/>
      <c r="I1161" s="301"/>
      <c r="J1161" s="301"/>
      <c r="K1161" s="301"/>
      <c r="L1161" s="299"/>
      <c r="M1161" s="299"/>
      <c r="N1161" s="299"/>
      <c r="O1161" s="299"/>
      <c r="P1161" s="299"/>
      <c r="Q1161" s="299"/>
      <c r="R1161" s="299"/>
      <c r="S1161" s="299"/>
      <c r="T1161" s="59"/>
      <c r="U1161" s="59"/>
      <c r="V1161" s="59"/>
      <c r="W1161" s="59"/>
      <c r="X1161" s="59"/>
      <c r="Y1161" s="59"/>
      <c r="Z1161" s="59"/>
      <c r="AA1161" s="59"/>
      <c r="AB1161" s="59"/>
      <c r="AC1161" s="59"/>
    </row>
    <row r="1162" ht="15.75" customHeight="1">
      <c r="A1162" s="298"/>
      <c r="B1162" s="299"/>
      <c r="C1162" s="299"/>
      <c r="D1162" s="299"/>
      <c r="E1162" s="300"/>
      <c r="F1162" s="299"/>
      <c r="G1162" s="299"/>
      <c r="H1162" s="301"/>
      <c r="I1162" s="301"/>
      <c r="J1162" s="301"/>
      <c r="K1162" s="301"/>
      <c r="L1162" s="299"/>
      <c r="M1162" s="299"/>
      <c r="N1162" s="299"/>
      <c r="O1162" s="299"/>
      <c r="P1162" s="299"/>
      <c r="Q1162" s="299"/>
      <c r="R1162" s="299"/>
      <c r="S1162" s="299"/>
      <c r="T1162" s="59"/>
      <c r="U1162" s="59"/>
      <c r="V1162" s="59"/>
      <c r="W1162" s="59"/>
      <c r="X1162" s="59"/>
      <c r="Y1162" s="59"/>
      <c r="Z1162" s="59"/>
      <c r="AA1162" s="59"/>
      <c r="AB1162" s="59"/>
      <c r="AC1162" s="59"/>
    </row>
    <row r="1163" ht="15.75" customHeight="1">
      <c r="A1163" s="298"/>
      <c r="B1163" s="299"/>
      <c r="C1163" s="299"/>
      <c r="D1163" s="299"/>
      <c r="E1163" s="300"/>
      <c r="F1163" s="299"/>
      <c r="G1163" s="299"/>
      <c r="H1163" s="301"/>
      <c r="I1163" s="301"/>
      <c r="J1163" s="301"/>
      <c r="K1163" s="301"/>
      <c r="L1163" s="299"/>
      <c r="M1163" s="299"/>
      <c r="N1163" s="299"/>
      <c r="O1163" s="299"/>
      <c r="P1163" s="299"/>
      <c r="Q1163" s="299"/>
      <c r="R1163" s="299"/>
      <c r="S1163" s="299"/>
      <c r="T1163" s="59"/>
      <c r="U1163" s="59"/>
      <c r="V1163" s="59"/>
      <c r="W1163" s="59"/>
      <c r="X1163" s="59"/>
      <c r="Y1163" s="59"/>
      <c r="Z1163" s="59"/>
      <c r="AA1163" s="59"/>
      <c r="AB1163" s="59"/>
      <c r="AC1163" s="59"/>
    </row>
    <row r="1164" ht="15.75" customHeight="1">
      <c r="A1164" s="298"/>
      <c r="B1164" s="299"/>
      <c r="C1164" s="299"/>
      <c r="D1164" s="299"/>
      <c r="E1164" s="300"/>
      <c r="F1164" s="299"/>
      <c r="G1164" s="299"/>
      <c r="H1164" s="301"/>
      <c r="I1164" s="301"/>
      <c r="J1164" s="301"/>
      <c r="K1164" s="301"/>
      <c r="L1164" s="299"/>
      <c r="M1164" s="299"/>
      <c r="N1164" s="299"/>
      <c r="O1164" s="299"/>
      <c r="P1164" s="299"/>
      <c r="Q1164" s="299"/>
      <c r="R1164" s="299"/>
      <c r="S1164" s="299"/>
      <c r="T1164" s="59"/>
      <c r="U1164" s="59"/>
      <c r="V1164" s="59"/>
      <c r="W1164" s="59"/>
      <c r="X1164" s="59"/>
      <c r="Y1164" s="59"/>
      <c r="Z1164" s="59"/>
      <c r="AA1164" s="59"/>
      <c r="AB1164" s="59"/>
      <c r="AC1164" s="59"/>
    </row>
    <row r="1165" ht="15.75" customHeight="1">
      <c r="A1165" s="298"/>
      <c r="B1165" s="299"/>
      <c r="C1165" s="299"/>
      <c r="D1165" s="299"/>
      <c r="E1165" s="300"/>
      <c r="F1165" s="299"/>
      <c r="G1165" s="299"/>
      <c r="H1165" s="301"/>
      <c r="I1165" s="301"/>
      <c r="J1165" s="301"/>
      <c r="K1165" s="301"/>
      <c r="L1165" s="299"/>
      <c r="M1165" s="299"/>
      <c r="N1165" s="299"/>
      <c r="O1165" s="299"/>
      <c r="P1165" s="299"/>
      <c r="Q1165" s="299"/>
      <c r="R1165" s="299"/>
      <c r="S1165" s="299"/>
      <c r="T1165" s="59"/>
      <c r="U1165" s="59"/>
      <c r="V1165" s="59"/>
      <c r="W1165" s="59"/>
      <c r="X1165" s="59"/>
      <c r="Y1165" s="59"/>
      <c r="Z1165" s="59"/>
      <c r="AA1165" s="59"/>
      <c r="AB1165" s="59"/>
      <c r="AC1165" s="59"/>
    </row>
    <row r="1166" ht="15.75" customHeight="1">
      <c r="A1166" s="298"/>
      <c r="B1166" s="299"/>
      <c r="C1166" s="299"/>
      <c r="D1166" s="299"/>
      <c r="E1166" s="300"/>
      <c r="F1166" s="299"/>
      <c r="G1166" s="299"/>
      <c r="H1166" s="301"/>
      <c r="I1166" s="301"/>
      <c r="J1166" s="301"/>
      <c r="K1166" s="301"/>
      <c r="L1166" s="299"/>
      <c r="M1166" s="299"/>
      <c r="N1166" s="299"/>
      <c r="O1166" s="299"/>
      <c r="P1166" s="299"/>
      <c r="Q1166" s="299"/>
      <c r="R1166" s="299"/>
      <c r="S1166" s="299"/>
      <c r="T1166" s="59"/>
      <c r="U1166" s="59"/>
      <c r="V1166" s="59"/>
      <c r="W1166" s="59"/>
      <c r="X1166" s="59"/>
      <c r="Y1166" s="59"/>
      <c r="Z1166" s="59"/>
      <c r="AA1166" s="59"/>
      <c r="AB1166" s="59"/>
      <c r="AC1166" s="59"/>
    </row>
    <row r="1167" ht="15.75" customHeight="1">
      <c r="A1167" s="298"/>
      <c r="B1167" s="299"/>
      <c r="C1167" s="299"/>
      <c r="D1167" s="299"/>
      <c r="E1167" s="300"/>
      <c r="F1167" s="299"/>
      <c r="G1167" s="299"/>
      <c r="H1167" s="301"/>
      <c r="I1167" s="301"/>
      <c r="J1167" s="301"/>
      <c r="K1167" s="301"/>
      <c r="L1167" s="299"/>
      <c r="M1167" s="299"/>
      <c r="N1167" s="299"/>
      <c r="O1167" s="299"/>
      <c r="P1167" s="299"/>
      <c r="Q1167" s="299"/>
      <c r="R1167" s="299"/>
      <c r="S1167" s="299"/>
      <c r="T1167" s="59"/>
      <c r="U1167" s="59"/>
      <c r="V1167" s="59"/>
      <c r="W1167" s="59"/>
      <c r="X1167" s="59"/>
      <c r="Y1167" s="59"/>
      <c r="Z1167" s="59"/>
      <c r="AA1167" s="59"/>
      <c r="AB1167" s="59"/>
      <c r="AC1167" s="59"/>
    </row>
    <row r="1168" ht="15.75" customHeight="1">
      <c r="A1168" s="298"/>
      <c r="B1168" s="299"/>
      <c r="C1168" s="299"/>
      <c r="D1168" s="299"/>
      <c r="E1168" s="300"/>
      <c r="F1168" s="299"/>
      <c r="G1168" s="299"/>
      <c r="H1168" s="301"/>
      <c r="I1168" s="301"/>
      <c r="J1168" s="301"/>
      <c r="K1168" s="301"/>
      <c r="L1168" s="299"/>
      <c r="M1168" s="299"/>
      <c r="N1168" s="299"/>
      <c r="O1168" s="299"/>
      <c r="P1168" s="299"/>
      <c r="Q1168" s="299"/>
      <c r="R1168" s="299"/>
      <c r="S1168" s="299"/>
      <c r="T1168" s="59"/>
      <c r="U1168" s="59"/>
      <c r="V1168" s="59"/>
      <c r="W1168" s="59"/>
      <c r="X1168" s="59"/>
      <c r="Y1168" s="59"/>
      <c r="Z1168" s="59"/>
      <c r="AA1168" s="59"/>
      <c r="AB1168" s="59"/>
      <c r="AC1168" s="59"/>
    </row>
    <row r="1169" ht="15.75" customHeight="1">
      <c r="A1169" s="298"/>
      <c r="B1169" s="299"/>
      <c r="C1169" s="299"/>
      <c r="D1169" s="299"/>
      <c r="E1169" s="300"/>
      <c r="F1169" s="299"/>
      <c r="G1169" s="299"/>
      <c r="H1169" s="301"/>
      <c r="I1169" s="301"/>
      <c r="J1169" s="301"/>
      <c r="K1169" s="301"/>
      <c r="L1169" s="299"/>
      <c r="M1169" s="299"/>
      <c r="N1169" s="299"/>
      <c r="O1169" s="299"/>
      <c r="P1169" s="299"/>
      <c r="Q1169" s="299"/>
      <c r="R1169" s="299"/>
      <c r="S1169" s="299"/>
      <c r="T1169" s="59"/>
      <c r="U1169" s="59"/>
      <c r="V1169" s="59"/>
      <c r="W1169" s="59"/>
      <c r="X1169" s="59"/>
      <c r="Y1169" s="59"/>
      <c r="Z1169" s="59"/>
      <c r="AA1169" s="59"/>
      <c r="AB1169" s="59"/>
      <c r="AC1169" s="59"/>
    </row>
    <row r="1170" ht="15.75" customHeight="1">
      <c r="A1170" s="298"/>
      <c r="B1170" s="299"/>
      <c r="C1170" s="299"/>
      <c r="D1170" s="299"/>
      <c r="E1170" s="300"/>
      <c r="F1170" s="299"/>
      <c r="G1170" s="299"/>
      <c r="H1170" s="301"/>
      <c r="I1170" s="301"/>
      <c r="J1170" s="301"/>
      <c r="K1170" s="301"/>
      <c r="L1170" s="299"/>
      <c r="M1170" s="299"/>
      <c r="N1170" s="299"/>
      <c r="O1170" s="299"/>
      <c r="P1170" s="299"/>
      <c r="Q1170" s="299"/>
      <c r="R1170" s="299"/>
      <c r="S1170" s="299"/>
      <c r="T1170" s="59"/>
      <c r="U1170" s="59"/>
      <c r="V1170" s="59"/>
      <c r="W1170" s="59"/>
      <c r="X1170" s="59"/>
      <c r="Y1170" s="59"/>
      <c r="Z1170" s="59"/>
      <c r="AA1170" s="59"/>
      <c r="AB1170" s="59"/>
      <c r="AC1170" s="59"/>
    </row>
    <row r="1171" ht="15.75" customHeight="1">
      <c r="A1171" s="298"/>
      <c r="B1171" s="299"/>
      <c r="C1171" s="299"/>
      <c r="D1171" s="299"/>
      <c r="E1171" s="300"/>
      <c r="F1171" s="299"/>
      <c r="G1171" s="299"/>
      <c r="H1171" s="301"/>
      <c r="I1171" s="301"/>
      <c r="J1171" s="301"/>
      <c r="K1171" s="301"/>
      <c r="L1171" s="299"/>
      <c r="M1171" s="299"/>
      <c r="N1171" s="299"/>
      <c r="O1171" s="299"/>
      <c r="P1171" s="299"/>
      <c r="Q1171" s="299"/>
      <c r="R1171" s="299"/>
      <c r="S1171" s="299"/>
      <c r="T1171" s="59"/>
      <c r="U1171" s="59"/>
      <c r="V1171" s="59"/>
      <c r="W1171" s="59"/>
      <c r="X1171" s="59"/>
      <c r="Y1171" s="59"/>
      <c r="Z1171" s="59"/>
      <c r="AA1171" s="59"/>
      <c r="AB1171" s="59"/>
      <c r="AC1171" s="59"/>
    </row>
    <row r="1172" ht="15.75" customHeight="1">
      <c r="A1172" s="298"/>
      <c r="B1172" s="299"/>
      <c r="C1172" s="299"/>
      <c r="D1172" s="299"/>
      <c r="E1172" s="300"/>
      <c r="F1172" s="299"/>
      <c r="G1172" s="299"/>
      <c r="H1172" s="301"/>
      <c r="I1172" s="301"/>
      <c r="J1172" s="301"/>
      <c r="K1172" s="301"/>
      <c r="L1172" s="299"/>
      <c r="M1172" s="299"/>
      <c r="N1172" s="299"/>
      <c r="O1172" s="299"/>
      <c r="P1172" s="299"/>
      <c r="Q1172" s="299"/>
      <c r="R1172" s="299"/>
      <c r="S1172" s="299"/>
      <c r="T1172" s="59"/>
      <c r="U1172" s="59"/>
      <c r="V1172" s="59"/>
      <c r="W1172" s="59"/>
      <c r="X1172" s="59"/>
      <c r="Y1172" s="59"/>
      <c r="Z1172" s="59"/>
      <c r="AA1172" s="59"/>
      <c r="AB1172" s="59"/>
      <c r="AC1172" s="59"/>
    </row>
    <row r="1173" ht="15.75" customHeight="1">
      <c r="A1173" s="298"/>
      <c r="B1173" s="299"/>
      <c r="C1173" s="299"/>
      <c r="D1173" s="299"/>
      <c r="E1173" s="300"/>
      <c r="F1173" s="299"/>
      <c r="G1173" s="299"/>
      <c r="H1173" s="301"/>
      <c r="I1173" s="301"/>
      <c r="J1173" s="301"/>
      <c r="K1173" s="301"/>
      <c r="L1173" s="299"/>
      <c r="M1173" s="299"/>
      <c r="N1173" s="299"/>
      <c r="O1173" s="299"/>
      <c r="P1173" s="299"/>
      <c r="Q1173" s="299"/>
      <c r="R1173" s="299"/>
      <c r="S1173" s="299"/>
      <c r="T1173" s="59"/>
      <c r="U1173" s="59"/>
      <c r="V1173" s="59"/>
      <c r="W1173" s="59"/>
      <c r="X1173" s="59"/>
      <c r="Y1173" s="59"/>
      <c r="Z1173" s="59"/>
      <c r="AA1173" s="59"/>
      <c r="AB1173" s="59"/>
      <c r="AC1173" s="59"/>
    </row>
    <row r="1174" ht="15.75" customHeight="1">
      <c r="A1174" s="298"/>
      <c r="B1174" s="299"/>
      <c r="C1174" s="299"/>
      <c r="D1174" s="299"/>
      <c r="E1174" s="300"/>
      <c r="F1174" s="299"/>
      <c r="G1174" s="299"/>
      <c r="H1174" s="301"/>
      <c r="I1174" s="301"/>
      <c r="J1174" s="301"/>
      <c r="K1174" s="301"/>
      <c r="L1174" s="299"/>
      <c r="M1174" s="299"/>
      <c r="N1174" s="299"/>
      <c r="O1174" s="299"/>
      <c r="P1174" s="299"/>
      <c r="Q1174" s="299"/>
      <c r="R1174" s="299"/>
      <c r="S1174" s="299"/>
      <c r="T1174" s="59"/>
      <c r="U1174" s="59"/>
      <c r="V1174" s="59"/>
      <c r="W1174" s="59"/>
      <c r="X1174" s="59"/>
      <c r="Y1174" s="59"/>
      <c r="Z1174" s="59"/>
      <c r="AA1174" s="59"/>
      <c r="AB1174" s="59"/>
      <c r="AC1174" s="59"/>
    </row>
    <row r="1175" ht="15.75" customHeight="1">
      <c r="A1175" s="298"/>
      <c r="B1175" s="299"/>
      <c r="C1175" s="299"/>
      <c r="D1175" s="299"/>
      <c r="E1175" s="300"/>
      <c r="F1175" s="299"/>
      <c r="G1175" s="299"/>
      <c r="H1175" s="301"/>
      <c r="I1175" s="301"/>
      <c r="J1175" s="301"/>
      <c r="K1175" s="301"/>
      <c r="L1175" s="299"/>
      <c r="M1175" s="299"/>
      <c r="N1175" s="299"/>
      <c r="O1175" s="299"/>
      <c r="P1175" s="299"/>
      <c r="Q1175" s="299"/>
      <c r="R1175" s="299"/>
      <c r="S1175" s="299"/>
      <c r="T1175" s="59"/>
      <c r="U1175" s="59"/>
      <c r="V1175" s="59"/>
      <c r="W1175" s="59"/>
      <c r="X1175" s="59"/>
      <c r="Y1175" s="59"/>
      <c r="Z1175" s="59"/>
      <c r="AA1175" s="59"/>
      <c r="AB1175" s="59"/>
      <c r="AC1175" s="59"/>
    </row>
    <row r="1176" ht="15.75" customHeight="1">
      <c r="A1176" s="298"/>
      <c r="B1176" s="299"/>
      <c r="C1176" s="299"/>
      <c r="D1176" s="299"/>
      <c r="E1176" s="300"/>
      <c r="F1176" s="299"/>
      <c r="G1176" s="299"/>
      <c r="H1176" s="301"/>
      <c r="I1176" s="301"/>
      <c r="J1176" s="301"/>
      <c r="K1176" s="301"/>
      <c r="L1176" s="299"/>
      <c r="M1176" s="299"/>
      <c r="N1176" s="299"/>
      <c r="O1176" s="299"/>
      <c r="P1176" s="299"/>
      <c r="Q1176" s="299"/>
      <c r="R1176" s="299"/>
      <c r="S1176" s="299"/>
      <c r="T1176" s="59"/>
      <c r="U1176" s="59"/>
      <c r="V1176" s="59"/>
      <c r="W1176" s="59"/>
      <c r="X1176" s="59"/>
      <c r="Y1176" s="59"/>
      <c r="Z1176" s="59"/>
      <c r="AA1176" s="59"/>
      <c r="AB1176" s="59"/>
      <c r="AC1176" s="59"/>
    </row>
    <row r="1177" ht="15.75" customHeight="1">
      <c r="A1177" s="298"/>
      <c r="B1177" s="299"/>
      <c r="C1177" s="299"/>
      <c r="D1177" s="299"/>
      <c r="E1177" s="300"/>
      <c r="F1177" s="299"/>
      <c r="G1177" s="299"/>
      <c r="H1177" s="301"/>
      <c r="I1177" s="301"/>
      <c r="J1177" s="301"/>
      <c r="K1177" s="301"/>
      <c r="L1177" s="299"/>
      <c r="M1177" s="299"/>
      <c r="N1177" s="299"/>
      <c r="O1177" s="299"/>
      <c r="P1177" s="299"/>
      <c r="Q1177" s="299"/>
      <c r="R1177" s="299"/>
      <c r="S1177" s="299"/>
      <c r="T1177" s="59"/>
      <c r="U1177" s="59"/>
      <c r="V1177" s="59"/>
      <c r="W1177" s="59"/>
      <c r="X1177" s="59"/>
      <c r="Y1177" s="59"/>
      <c r="Z1177" s="59"/>
      <c r="AA1177" s="59"/>
      <c r="AB1177" s="59"/>
      <c r="AC1177" s="59"/>
    </row>
    <row r="1178" ht="15.75" customHeight="1">
      <c r="A1178" s="298"/>
      <c r="B1178" s="299"/>
      <c r="C1178" s="299"/>
      <c r="D1178" s="299"/>
      <c r="E1178" s="300"/>
      <c r="F1178" s="299"/>
      <c r="G1178" s="299"/>
      <c r="H1178" s="301"/>
      <c r="I1178" s="301"/>
      <c r="J1178" s="301"/>
      <c r="K1178" s="301"/>
      <c r="L1178" s="299"/>
      <c r="M1178" s="299"/>
      <c r="N1178" s="299"/>
      <c r="O1178" s="299"/>
      <c r="P1178" s="299"/>
      <c r="Q1178" s="299"/>
      <c r="R1178" s="299"/>
      <c r="S1178" s="299"/>
      <c r="T1178" s="59"/>
      <c r="U1178" s="59"/>
      <c r="V1178" s="59"/>
      <c r="W1178" s="59"/>
      <c r="X1178" s="59"/>
      <c r="Y1178" s="59"/>
      <c r="Z1178" s="59"/>
      <c r="AA1178" s="59"/>
      <c r="AB1178" s="59"/>
      <c r="AC1178" s="59"/>
    </row>
    <row r="1179" ht="15.75" customHeight="1">
      <c r="A1179" s="298"/>
      <c r="B1179" s="299"/>
      <c r="C1179" s="299"/>
      <c r="D1179" s="299"/>
      <c r="E1179" s="300"/>
      <c r="F1179" s="299"/>
      <c r="G1179" s="299"/>
      <c r="H1179" s="301"/>
      <c r="I1179" s="301"/>
      <c r="J1179" s="301"/>
      <c r="K1179" s="301"/>
      <c r="L1179" s="299"/>
      <c r="M1179" s="299"/>
      <c r="N1179" s="299"/>
      <c r="O1179" s="299"/>
      <c r="P1179" s="299"/>
      <c r="Q1179" s="299"/>
      <c r="R1179" s="299"/>
      <c r="S1179" s="299"/>
      <c r="T1179" s="59"/>
      <c r="U1179" s="59"/>
      <c r="V1179" s="59"/>
      <c r="W1179" s="59"/>
      <c r="X1179" s="59"/>
      <c r="Y1179" s="59"/>
      <c r="Z1179" s="59"/>
      <c r="AA1179" s="59"/>
      <c r="AB1179" s="59"/>
      <c r="AC1179" s="59"/>
    </row>
    <row r="1180" ht="15.75" customHeight="1">
      <c r="A1180" s="298"/>
      <c r="B1180" s="299"/>
      <c r="C1180" s="299"/>
      <c r="D1180" s="299"/>
      <c r="E1180" s="300"/>
      <c r="F1180" s="299"/>
      <c r="G1180" s="299"/>
      <c r="H1180" s="301"/>
      <c r="I1180" s="301"/>
      <c r="J1180" s="301"/>
      <c r="K1180" s="301"/>
      <c r="L1180" s="299"/>
      <c r="M1180" s="299"/>
      <c r="N1180" s="299"/>
      <c r="O1180" s="299"/>
      <c r="P1180" s="299"/>
      <c r="Q1180" s="299"/>
      <c r="R1180" s="299"/>
      <c r="S1180" s="299"/>
      <c r="T1180" s="59"/>
      <c r="U1180" s="59"/>
      <c r="V1180" s="59"/>
      <c r="W1180" s="59"/>
      <c r="X1180" s="59"/>
      <c r="Y1180" s="59"/>
      <c r="Z1180" s="59"/>
      <c r="AA1180" s="59"/>
      <c r="AB1180" s="59"/>
      <c r="AC1180" s="59"/>
    </row>
    <row r="1181" ht="15.75" customHeight="1">
      <c r="A1181" s="298"/>
      <c r="B1181" s="299"/>
      <c r="C1181" s="299"/>
      <c r="D1181" s="299"/>
      <c r="E1181" s="300"/>
      <c r="F1181" s="299"/>
      <c r="G1181" s="299"/>
      <c r="H1181" s="301"/>
      <c r="I1181" s="301"/>
      <c r="J1181" s="301"/>
      <c r="K1181" s="301"/>
      <c r="L1181" s="299"/>
      <c r="M1181" s="299"/>
      <c r="N1181" s="299"/>
      <c r="O1181" s="299"/>
      <c r="P1181" s="299"/>
      <c r="Q1181" s="299"/>
      <c r="R1181" s="299"/>
      <c r="S1181" s="299"/>
      <c r="T1181" s="59"/>
      <c r="U1181" s="59"/>
      <c r="V1181" s="59"/>
      <c r="W1181" s="59"/>
      <c r="X1181" s="59"/>
      <c r="Y1181" s="59"/>
      <c r="Z1181" s="59"/>
      <c r="AA1181" s="59"/>
      <c r="AB1181" s="59"/>
      <c r="AC1181" s="59"/>
    </row>
    <row r="1182" ht="15.75" customHeight="1">
      <c r="A1182" s="298"/>
      <c r="B1182" s="299"/>
      <c r="C1182" s="299"/>
      <c r="D1182" s="299"/>
      <c r="E1182" s="300"/>
      <c r="F1182" s="299"/>
      <c r="G1182" s="299"/>
      <c r="H1182" s="301"/>
      <c r="I1182" s="301"/>
      <c r="J1182" s="301"/>
      <c r="K1182" s="301"/>
      <c r="L1182" s="299"/>
      <c r="M1182" s="299"/>
      <c r="N1182" s="299"/>
      <c r="O1182" s="299"/>
      <c r="P1182" s="299"/>
      <c r="Q1182" s="299"/>
      <c r="R1182" s="299"/>
      <c r="S1182" s="299"/>
      <c r="T1182" s="59"/>
      <c r="U1182" s="59"/>
      <c r="V1182" s="59"/>
      <c r="W1182" s="59"/>
      <c r="X1182" s="59"/>
      <c r="Y1182" s="59"/>
      <c r="Z1182" s="59"/>
      <c r="AA1182" s="59"/>
      <c r="AB1182" s="59"/>
      <c r="AC1182" s="59"/>
    </row>
    <row r="1183" ht="15.75" customHeight="1">
      <c r="A1183" s="298"/>
      <c r="B1183" s="299"/>
      <c r="C1183" s="299"/>
      <c r="D1183" s="299"/>
      <c r="E1183" s="300"/>
      <c r="F1183" s="299"/>
      <c r="G1183" s="299"/>
      <c r="H1183" s="301"/>
      <c r="I1183" s="301"/>
      <c r="J1183" s="301"/>
      <c r="K1183" s="301"/>
      <c r="L1183" s="299"/>
      <c r="M1183" s="299"/>
      <c r="N1183" s="299"/>
      <c r="O1183" s="299"/>
      <c r="P1183" s="299"/>
      <c r="Q1183" s="299"/>
      <c r="R1183" s="299"/>
      <c r="S1183" s="299"/>
      <c r="T1183" s="59"/>
      <c r="U1183" s="59"/>
      <c r="V1183" s="59"/>
      <c r="W1183" s="59"/>
      <c r="X1183" s="59"/>
      <c r="Y1183" s="59"/>
      <c r="Z1183" s="59"/>
      <c r="AA1183" s="59"/>
      <c r="AB1183" s="59"/>
      <c r="AC1183" s="59"/>
    </row>
    <row r="1184" ht="15.75" customHeight="1">
      <c r="A1184" s="298"/>
      <c r="B1184" s="299"/>
      <c r="C1184" s="299"/>
      <c r="D1184" s="299"/>
      <c r="E1184" s="300"/>
      <c r="F1184" s="299"/>
      <c r="G1184" s="299"/>
      <c r="H1184" s="301"/>
      <c r="I1184" s="301"/>
      <c r="J1184" s="301"/>
      <c r="K1184" s="301"/>
      <c r="L1184" s="299"/>
      <c r="M1184" s="299"/>
      <c r="N1184" s="299"/>
      <c r="O1184" s="299"/>
      <c r="P1184" s="299"/>
      <c r="Q1184" s="299"/>
      <c r="R1184" s="299"/>
      <c r="S1184" s="299"/>
      <c r="T1184" s="59"/>
      <c r="U1184" s="59"/>
      <c r="V1184" s="59"/>
      <c r="W1184" s="59"/>
      <c r="X1184" s="59"/>
      <c r="Y1184" s="59"/>
      <c r="Z1184" s="59"/>
      <c r="AA1184" s="59"/>
      <c r="AB1184" s="59"/>
      <c r="AC1184" s="59"/>
    </row>
    <row r="1185" ht="15.75" customHeight="1">
      <c r="A1185" s="298"/>
      <c r="B1185" s="299"/>
      <c r="C1185" s="299"/>
      <c r="D1185" s="299"/>
      <c r="E1185" s="300"/>
      <c r="F1185" s="299"/>
      <c r="G1185" s="299"/>
      <c r="H1185" s="301"/>
      <c r="I1185" s="301"/>
      <c r="J1185" s="301"/>
      <c r="K1185" s="301"/>
      <c r="L1185" s="299"/>
      <c r="M1185" s="299"/>
      <c r="N1185" s="299"/>
      <c r="O1185" s="299"/>
      <c r="P1185" s="299"/>
      <c r="Q1185" s="299"/>
      <c r="R1185" s="299"/>
      <c r="S1185" s="299"/>
      <c r="T1185" s="59"/>
      <c r="U1185" s="59"/>
      <c r="V1185" s="59"/>
      <c r="W1185" s="59"/>
      <c r="X1185" s="59"/>
      <c r="Y1185" s="59"/>
      <c r="Z1185" s="59"/>
      <c r="AA1185" s="59"/>
      <c r="AB1185" s="59"/>
      <c r="AC1185" s="59"/>
    </row>
    <row r="1186" ht="15.75" customHeight="1">
      <c r="A1186" s="298"/>
      <c r="B1186" s="299"/>
      <c r="C1186" s="299"/>
      <c r="D1186" s="299"/>
      <c r="E1186" s="300"/>
      <c r="F1186" s="299"/>
      <c r="G1186" s="299"/>
      <c r="H1186" s="301"/>
      <c r="I1186" s="301"/>
      <c r="J1186" s="301"/>
      <c r="K1186" s="301"/>
      <c r="L1186" s="299"/>
      <c r="M1186" s="299"/>
      <c r="N1186" s="299"/>
      <c r="O1186" s="299"/>
      <c r="P1186" s="299"/>
      <c r="Q1186" s="299"/>
      <c r="R1186" s="299"/>
      <c r="S1186" s="299"/>
      <c r="T1186" s="59"/>
      <c r="U1186" s="59"/>
      <c r="V1186" s="59"/>
      <c r="W1186" s="59"/>
      <c r="X1186" s="59"/>
      <c r="Y1186" s="59"/>
      <c r="Z1186" s="59"/>
      <c r="AA1186" s="59"/>
      <c r="AB1186" s="59"/>
      <c r="AC1186" s="59"/>
    </row>
    <row r="1187" ht="15.75" customHeight="1">
      <c r="A1187" s="298"/>
      <c r="B1187" s="299"/>
      <c r="C1187" s="299"/>
      <c r="D1187" s="299"/>
      <c r="E1187" s="300"/>
      <c r="F1187" s="299"/>
      <c r="G1187" s="299"/>
      <c r="H1187" s="301"/>
      <c r="I1187" s="301"/>
      <c r="J1187" s="301"/>
      <c r="K1187" s="301"/>
      <c r="L1187" s="299"/>
      <c r="M1187" s="299"/>
      <c r="N1187" s="299"/>
      <c r="O1187" s="299"/>
      <c r="P1187" s="299"/>
      <c r="Q1187" s="299"/>
      <c r="R1187" s="299"/>
      <c r="S1187" s="299"/>
      <c r="T1187" s="59"/>
      <c r="U1187" s="59"/>
      <c r="V1187" s="59"/>
      <c r="W1187" s="59"/>
      <c r="X1187" s="59"/>
      <c r="Y1187" s="59"/>
      <c r="Z1187" s="59"/>
      <c r="AA1187" s="59"/>
      <c r="AB1187" s="59"/>
      <c r="AC1187" s="59"/>
    </row>
    <row r="1188" ht="15.75" customHeight="1">
      <c r="A1188" s="298"/>
      <c r="B1188" s="299"/>
      <c r="C1188" s="299"/>
      <c r="D1188" s="299"/>
      <c r="E1188" s="300"/>
      <c r="F1188" s="299"/>
      <c r="G1188" s="299"/>
      <c r="H1188" s="301"/>
      <c r="I1188" s="301"/>
      <c r="J1188" s="301"/>
      <c r="K1188" s="301"/>
      <c r="L1188" s="299"/>
      <c r="M1188" s="299"/>
      <c r="N1188" s="299"/>
      <c r="O1188" s="299"/>
      <c r="P1188" s="299"/>
      <c r="Q1188" s="299"/>
      <c r="R1188" s="299"/>
      <c r="S1188" s="299"/>
      <c r="T1188" s="59"/>
      <c r="U1188" s="59"/>
      <c r="V1188" s="59"/>
      <c r="W1188" s="59"/>
      <c r="X1188" s="59"/>
      <c r="Y1188" s="59"/>
      <c r="Z1188" s="59"/>
      <c r="AA1188" s="59"/>
      <c r="AB1188" s="59"/>
      <c r="AC1188" s="59"/>
    </row>
    <row r="1189" ht="15.75" customHeight="1">
      <c r="A1189" s="298"/>
      <c r="B1189" s="299"/>
      <c r="C1189" s="299"/>
      <c r="D1189" s="299"/>
      <c r="E1189" s="300"/>
      <c r="F1189" s="299"/>
      <c r="G1189" s="299"/>
      <c r="H1189" s="301"/>
      <c r="I1189" s="301"/>
      <c r="J1189" s="301"/>
      <c r="K1189" s="301"/>
      <c r="L1189" s="299"/>
      <c r="M1189" s="299"/>
      <c r="N1189" s="299"/>
      <c r="O1189" s="299"/>
      <c r="P1189" s="299"/>
      <c r="Q1189" s="299"/>
      <c r="R1189" s="299"/>
      <c r="S1189" s="299"/>
      <c r="T1189" s="59"/>
      <c r="U1189" s="59"/>
      <c r="V1189" s="59"/>
      <c r="W1189" s="59"/>
      <c r="X1189" s="59"/>
      <c r="Y1189" s="59"/>
      <c r="Z1189" s="59"/>
      <c r="AA1189" s="59"/>
      <c r="AB1189" s="59"/>
      <c r="AC1189" s="59"/>
    </row>
    <row r="1190" ht="15.75" customHeight="1">
      <c r="A1190" s="298"/>
      <c r="B1190" s="299"/>
      <c r="C1190" s="299"/>
      <c r="D1190" s="299"/>
      <c r="E1190" s="300"/>
      <c r="F1190" s="299"/>
      <c r="G1190" s="299"/>
      <c r="H1190" s="301"/>
      <c r="I1190" s="301"/>
      <c r="J1190" s="301"/>
      <c r="K1190" s="301"/>
      <c r="L1190" s="299"/>
      <c r="M1190" s="299"/>
      <c r="N1190" s="299"/>
      <c r="O1190" s="299"/>
      <c r="P1190" s="299"/>
      <c r="Q1190" s="299"/>
      <c r="R1190" s="299"/>
      <c r="S1190" s="299"/>
      <c r="T1190" s="59"/>
      <c r="U1190" s="59"/>
      <c r="V1190" s="59"/>
      <c r="W1190" s="59"/>
      <c r="X1190" s="59"/>
      <c r="Y1190" s="59"/>
      <c r="Z1190" s="59"/>
      <c r="AA1190" s="59"/>
      <c r="AB1190" s="59"/>
      <c r="AC1190" s="59"/>
    </row>
    <row r="1191" ht="15.75" customHeight="1">
      <c r="A1191" s="298"/>
      <c r="B1191" s="299"/>
      <c r="C1191" s="299"/>
      <c r="D1191" s="299"/>
      <c r="E1191" s="300"/>
      <c r="F1191" s="299"/>
      <c r="G1191" s="299"/>
      <c r="H1191" s="301"/>
      <c r="I1191" s="301"/>
      <c r="J1191" s="301"/>
      <c r="K1191" s="301"/>
      <c r="L1191" s="299"/>
      <c r="M1191" s="299"/>
      <c r="N1191" s="299"/>
      <c r="O1191" s="299"/>
      <c r="P1191" s="299"/>
      <c r="Q1191" s="299"/>
      <c r="R1191" s="299"/>
      <c r="S1191" s="299"/>
      <c r="T1191" s="59"/>
      <c r="U1191" s="59"/>
      <c r="V1191" s="59"/>
      <c r="W1191" s="59"/>
      <c r="X1191" s="59"/>
      <c r="Y1191" s="59"/>
      <c r="Z1191" s="59"/>
      <c r="AA1191" s="59"/>
      <c r="AB1191" s="59"/>
      <c r="AC1191" s="59"/>
    </row>
    <row r="1192" ht="15.75" customHeight="1">
      <c r="A1192" s="298"/>
      <c r="B1192" s="299"/>
      <c r="C1192" s="299"/>
      <c r="D1192" s="299"/>
      <c r="E1192" s="300"/>
      <c r="F1192" s="299"/>
      <c r="G1192" s="299"/>
      <c r="H1192" s="301"/>
      <c r="I1192" s="301"/>
      <c r="J1192" s="301"/>
      <c r="K1192" s="301"/>
      <c r="L1192" s="299"/>
      <c r="M1192" s="299"/>
      <c r="N1192" s="299"/>
      <c r="O1192" s="299"/>
      <c r="P1192" s="299"/>
      <c r="Q1192" s="299"/>
      <c r="R1192" s="299"/>
      <c r="S1192" s="299"/>
      <c r="T1192" s="59"/>
      <c r="U1192" s="59"/>
      <c r="V1192" s="59"/>
      <c r="W1192" s="59"/>
      <c r="X1192" s="59"/>
      <c r="Y1192" s="59"/>
      <c r="Z1192" s="59"/>
      <c r="AA1192" s="59"/>
      <c r="AB1192" s="59"/>
      <c r="AC1192" s="59"/>
    </row>
    <row r="1193" ht="15.75" customHeight="1">
      <c r="A1193" s="298"/>
      <c r="B1193" s="299"/>
      <c r="C1193" s="299"/>
      <c r="D1193" s="299"/>
      <c r="E1193" s="300"/>
      <c r="F1193" s="299"/>
      <c r="G1193" s="299"/>
      <c r="H1193" s="301"/>
      <c r="I1193" s="301"/>
      <c r="J1193" s="301"/>
      <c r="K1193" s="301"/>
      <c r="L1193" s="299"/>
      <c r="M1193" s="299"/>
      <c r="N1193" s="299"/>
      <c r="O1193" s="299"/>
      <c r="P1193" s="299"/>
      <c r="Q1193" s="299"/>
      <c r="R1193" s="299"/>
      <c r="S1193" s="299"/>
      <c r="T1193" s="59"/>
      <c r="U1193" s="59"/>
      <c r="V1193" s="59"/>
      <c r="W1193" s="59"/>
      <c r="X1193" s="59"/>
      <c r="Y1193" s="59"/>
      <c r="Z1193" s="59"/>
      <c r="AA1193" s="59"/>
      <c r="AB1193" s="59"/>
      <c r="AC1193" s="59"/>
    </row>
    <row r="1194" ht="15.75" customHeight="1">
      <c r="A1194" s="298"/>
      <c r="B1194" s="299"/>
      <c r="C1194" s="299"/>
      <c r="D1194" s="299"/>
      <c r="E1194" s="300"/>
      <c r="F1194" s="299"/>
      <c r="G1194" s="299"/>
      <c r="H1194" s="301"/>
      <c r="I1194" s="301"/>
      <c r="J1194" s="301"/>
      <c r="K1194" s="301"/>
      <c r="L1194" s="299"/>
      <c r="M1194" s="299"/>
      <c r="N1194" s="299"/>
      <c r="O1194" s="299"/>
      <c r="P1194" s="299"/>
      <c r="Q1194" s="299"/>
      <c r="R1194" s="299"/>
      <c r="S1194" s="299"/>
      <c r="T1194" s="59"/>
      <c r="U1194" s="59"/>
      <c r="V1194" s="59"/>
      <c r="W1194" s="59"/>
      <c r="X1194" s="59"/>
      <c r="Y1194" s="59"/>
      <c r="Z1194" s="59"/>
      <c r="AA1194" s="59"/>
      <c r="AB1194" s="59"/>
      <c r="AC1194" s="59"/>
    </row>
    <row r="1195" ht="15.75" customHeight="1">
      <c r="A1195" s="298"/>
      <c r="B1195" s="299"/>
      <c r="C1195" s="299"/>
      <c r="D1195" s="299"/>
      <c r="E1195" s="300"/>
      <c r="F1195" s="299"/>
      <c r="G1195" s="299"/>
      <c r="H1195" s="301"/>
      <c r="I1195" s="301"/>
      <c r="J1195" s="301"/>
      <c r="K1195" s="301"/>
      <c r="L1195" s="299"/>
      <c r="M1195" s="299"/>
      <c r="N1195" s="299"/>
      <c r="O1195" s="299"/>
      <c r="P1195" s="299"/>
      <c r="Q1195" s="299"/>
      <c r="R1195" s="299"/>
      <c r="S1195" s="299"/>
      <c r="T1195" s="59"/>
      <c r="U1195" s="59"/>
      <c r="V1195" s="59"/>
      <c r="W1195" s="59"/>
      <c r="X1195" s="59"/>
      <c r="Y1195" s="59"/>
      <c r="Z1195" s="59"/>
      <c r="AA1195" s="59"/>
      <c r="AB1195" s="59"/>
      <c r="AC1195" s="59"/>
    </row>
    <row r="1196" ht="15.75" customHeight="1">
      <c r="A1196" s="298"/>
      <c r="B1196" s="299"/>
      <c r="C1196" s="299"/>
      <c r="D1196" s="299"/>
      <c r="E1196" s="300"/>
      <c r="F1196" s="299"/>
      <c r="G1196" s="299"/>
      <c r="H1196" s="301"/>
      <c r="I1196" s="301"/>
      <c r="J1196" s="301"/>
      <c r="K1196" s="301"/>
      <c r="L1196" s="299"/>
      <c r="M1196" s="299"/>
      <c r="N1196" s="299"/>
      <c r="O1196" s="299"/>
      <c r="P1196" s="299"/>
      <c r="Q1196" s="299"/>
      <c r="R1196" s="299"/>
      <c r="S1196" s="299"/>
      <c r="T1196" s="59"/>
      <c r="U1196" s="59"/>
      <c r="V1196" s="59"/>
      <c r="W1196" s="59"/>
      <c r="X1196" s="59"/>
      <c r="Y1196" s="59"/>
      <c r="Z1196" s="59"/>
      <c r="AA1196" s="59"/>
      <c r="AB1196" s="59"/>
      <c r="AC1196" s="59"/>
    </row>
    <row r="1197" ht="15.75" customHeight="1">
      <c r="A1197" s="298"/>
      <c r="B1197" s="299"/>
      <c r="C1197" s="299"/>
      <c r="D1197" s="299"/>
      <c r="E1197" s="300"/>
      <c r="F1197" s="299"/>
      <c r="G1197" s="299"/>
      <c r="H1197" s="301"/>
      <c r="I1197" s="301"/>
      <c r="J1197" s="301"/>
      <c r="K1197" s="301"/>
      <c r="L1197" s="299"/>
      <c r="M1197" s="299"/>
      <c r="N1197" s="299"/>
      <c r="O1197" s="299"/>
      <c r="P1197" s="299"/>
      <c r="Q1197" s="299"/>
      <c r="R1197" s="299"/>
      <c r="S1197" s="299"/>
      <c r="T1197" s="59"/>
      <c r="U1197" s="59"/>
      <c r="V1197" s="59"/>
      <c r="W1197" s="59"/>
      <c r="X1197" s="59"/>
      <c r="Y1197" s="59"/>
      <c r="Z1197" s="59"/>
      <c r="AA1197" s="59"/>
      <c r="AB1197" s="59"/>
      <c r="AC1197" s="59"/>
    </row>
    <row r="1198" ht="15.75" customHeight="1">
      <c r="A1198" s="298"/>
      <c r="B1198" s="299"/>
      <c r="C1198" s="299"/>
      <c r="D1198" s="299"/>
      <c r="E1198" s="300"/>
      <c r="F1198" s="299"/>
      <c r="G1198" s="299"/>
      <c r="H1198" s="301"/>
      <c r="I1198" s="301"/>
      <c r="J1198" s="301"/>
      <c r="K1198" s="301"/>
      <c r="L1198" s="299"/>
      <c r="M1198" s="299"/>
      <c r="N1198" s="299"/>
      <c r="O1198" s="299"/>
      <c r="P1198" s="299"/>
      <c r="Q1198" s="299"/>
      <c r="R1198" s="299"/>
      <c r="S1198" s="299"/>
      <c r="T1198" s="59"/>
      <c r="U1198" s="59"/>
      <c r="V1198" s="59"/>
      <c r="W1198" s="59"/>
      <c r="X1198" s="59"/>
      <c r="Y1198" s="59"/>
      <c r="Z1198" s="59"/>
      <c r="AA1198" s="59"/>
      <c r="AB1198" s="59"/>
      <c r="AC1198" s="59"/>
    </row>
    <row r="1199" ht="15.75" customHeight="1">
      <c r="A1199" s="298"/>
      <c r="B1199" s="299"/>
      <c r="C1199" s="299"/>
      <c r="D1199" s="299"/>
      <c r="E1199" s="300"/>
      <c r="F1199" s="299"/>
      <c r="G1199" s="299"/>
      <c r="H1199" s="301"/>
      <c r="I1199" s="301"/>
      <c r="J1199" s="301"/>
      <c r="K1199" s="301"/>
      <c r="L1199" s="299"/>
      <c r="M1199" s="299"/>
      <c r="N1199" s="299"/>
      <c r="O1199" s="299"/>
      <c r="P1199" s="299"/>
      <c r="Q1199" s="299"/>
      <c r="R1199" s="299"/>
      <c r="S1199" s="299"/>
      <c r="T1199" s="59"/>
      <c r="U1199" s="59"/>
      <c r="V1199" s="59"/>
      <c r="W1199" s="59"/>
      <c r="X1199" s="59"/>
      <c r="Y1199" s="59"/>
      <c r="Z1199" s="59"/>
      <c r="AA1199" s="59"/>
      <c r="AB1199" s="59"/>
      <c r="AC1199" s="59"/>
    </row>
    <row r="1200" ht="15.75" customHeight="1">
      <c r="A1200" s="298"/>
      <c r="B1200" s="299"/>
      <c r="C1200" s="299"/>
      <c r="D1200" s="299"/>
      <c r="E1200" s="300"/>
      <c r="F1200" s="299"/>
      <c r="G1200" s="299"/>
      <c r="H1200" s="301"/>
      <c r="I1200" s="301"/>
      <c r="J1200" s="301"/>
      <c r="K1200" s="301"/>
      <c r="L1200" s="299"/>
      <c r="M1200" s="299"/>
      <c r="N1200" s="299"/>
      <c r="O1200" s="299"/>
      <c r="P1200" s="299"/>
      <c r="Q1200" s="299"/>
      <c r="R1200" s="299"/>
      <c r="S1200" s="299"/>
      <c r="T1200" s="59"/>
      <c r="U1200" s="59"/>
      <c r="V1200" s="59"/>
      <c r="W1200" s="59"/>
      <c r="X1200" s="59"/>
      <c r="Y1200" s="59"/>
      <c r="Z1200" s="59"/>
      <c r="AA1200" s="59"/>
      <c r="AB1200" s="59"/>
      <c r="AC1200" s="59"/>
    </row>
    <row r="1201" ht="15.75" customHeight="1">
      <c r="A1201" s="298"/>
      <c r="B1201" s="299"/>
      <c r="C1201" s="299"/>
      <c r="D1201" s="299"/>
      <c r="E1201" s="300"/>
      <c r="F1201" s="299"/>
      <c r="G1201" s="299"/>
      <c r="H1201" s="301"/>
      <c r="I1201" s="301"/>
      <c r="J1201" s="301"/>
      <c r="K1201" s="301"/>
      <c r="L1201" s="299"/>
      <c r="M1201" s="299"/>
      <c r="N1201" s="299"/>
      <c r="O1201" s="299"/>
      <c r="P1201" s="299"/>
      <c r="Q1201" s="299"/>
      <c r="R1201" s="299"/>
      <c r="S1201" s="299"/>
      <c r="T1201" s="59"/>
      <c r="U1201" s="59"/>
      <c r="V1201" s="59"/>
      <c r="W1201" s="59"/>
      <c r="X1201" s="59"/>
      <c r="Y1201" s="59"/>
      <c r="Z1201" s="59"/>
      <c r="AA1201" s="59"/>
      <c r="AB1201" s="59"/>
      <c r="AC1201" s="59"/>
    </row>
    <row r="1202" ht="15.75" customHeight="1">
      <c r="A1202" s="298"/>
      <c r="B1202" s="299"/>
      <c r="C1202" s="299"/>
      <c r="D1202" s="299"/>
      <c r="E1202" s="300"/>
      <c r="F1202" s="299"/>
      <c r="G1202" s="299"/>
      <c r="H1202" s="301"/>
      <c r="I1202" s="301"/>
      <c r="J1202" s="301"/>
      <c r="K1202" s="301"/>
      <c r="L1202" s="299"/>
      <c r="M1202" s="299"/>
      <c r="N1202" s="299"/>
      <c r="O1202" s="299"/>
      <c r="P1202" s="299"/>
      <c r="Q1202" s="299"/>
      <c r="R1202" s="299"/>
      <c r="S1202" s="299"/>
      <c r="T1202" s="59"/>
      <c r="U1202" s="59"/>
      <c r="V1202" s="59"/>
      <c r="W1202" s="59"/>
      <c r="X1202" s="59"/>
      <c r="Y1202" s="59"/>
      <c r="Z1202" s="59"/>
      <c r="AA1202" s="59"/>
      <c r="AB1202" s="59"/>
      <c r="AC1202" s="59"/>
    </row>
    <row r="1203" ht="15.75" customHeight="1">
      <c r="A1203" s="298"/>
      <c r="B1203" s="299"/>
      <c r="C1203" s="299"/>
      <c r="D1203" s="299"/>
      <c r="E1203" s="300"/>
      <c r="F1203" s="299"/>
      <c r="G1203" s="299"/>
      <c r="H1203" s="301"/>
      <c r="I1203" s="301"/>
      <c r="J1203" s="301"/>
      <c r="K1203" s="301"/>
      <c r="L1203" s="299"/>
      <c r="M1203" s="299"/>
      <c r="N1203" s="299"/>
      <c r="O1203" s="299"/>
      <c r="P1203" s="299"/>
      <c r="Q1203" s="299"/>
      <c r="R1203" s="299"/>
      <c r="S1203" s="299"/>
      <c r="T1203" s="59"/>
      <c r="U1203" s="59"/>
      <c r="V1203" s="59"/>
      <c r="W1203" s="59"/>
      <c r="X1203" s="59"/>
      <c r="Y1203" s="59"/>
      <c r="Z1203" s="59"/>
      <c r="AA1203" s="59"/>
      <c r="AB1203" s="59"/>
      <c r="AC1203" s="59"/>
    </row>
    <row r="1204" ht="15.75" customHeight="1">
      <c r="A1204" s="298"/>
      <c r="B1204" s="299"/>
      <c r="C1204" s="299"/>
      <c r="D1204" s="299"/>
      <c r="E1204" s="300"/>
      <c r="F1204" s="299"/>
      <c r="G1204" s="299"/>
      <c r="H1204" s="301"/>
      <c r="I1204" s="301"/>
      <c r="J1204" s="301"/>
      <c r="K1204" s="301"/>
      <c r="L1204" s="299"/>
      <c r="M1204" s="299"/>
      <c r="N1204" s="299"/>
      <c r="O1204" s="299"/>
      <c r="P1204" s="299"/>
      <c r="Q1204" s="299"/>
      <c r="R1204" s="299"/>
      <c r="S1204" s="299"/>
      <c r="T1204" s="59"/>
      <c r="U1204" s="59"/>
      <c r="V1204" s="59"/>
      <c r="W1204" s="59"/>
      <c r="X1204" s="59"/>
      <c r="Y1204" s="59"/>
      <c r="Z1204" s="59"/>
      <c r="AA1204" s="59"/>
      <c r="AB1204" s="59"/>
      <c r="AC1204" s="59"/>
    </row>
    <row r="1205" ht="15.75" customHeight="1">
      <c r="A1205" s="298"/>
      <c r="B1205" s="299"/>
      <c r="C1205" s="299"/>
      <c r="D1205" s="299"/>
      <c r="E1205" s="300"/>
      <c r="F1205" s="299"/>
      <c r="G1205" s="299"/>
      <c r="H1205" s="301"/>
      <c r="I1205" s="301"/>
      <c r="J1205" s="301"/>
      <c r="K1205" s="301"/>
      <c r="L1205" s="299"/>
      <c r="M1205" s="299"/>
      <c r="N1205" s="299"/>
      <c r="O1205" s="299"/>
      <c r="P1205" s="299"/>
      <c r="Q1205" s="299"/>
      <c r="R1205" s="299"/>
      <c r="S1205" s="299"/>
      <c r="T1205" s="59"/>
      <c r="U1205" s="59"/>
      <c r="V1205" s="59"/>
      <c r="W1205" s="59"/>
      <c r="X1205" s="59"/>
      <c r="Y1205" s="59"/>
      <c r="Z1205" s="59"/>
      <c r="AA1205" s="59"/>
      <c r="AB1205" s="59"/>
      <c r="AC1205" s="59"/>
    </row>
    <row r="1206" ht="15.75" customHeight="1">
      <c r="A1206" s="298"/>
      <c r="B1206" s="299"/>
      <c r="C1206" s="299"/>
      <c r="D1206" s="299"/>
      <c r="E1206" s="300"/>
      <c r="F1206" s="299"/>
      <c r="G1206" s="299"/>
      <c r="H1206" s="301"/>
      <c r="I1206" s="301"/>
      <c r="J1206" s="301"/>
      <c r="K1206" s="301"/>
      <c r="L1206" s="299"/>
      <c r="M1206" s="299"/>
      <c r="N1206" s="299"/>
      <c r="O1206" s="299"/>
      <c r="P1206" s="299"/>
      <c r="Q1206" s="299"/>
      <c r="R1206" s="299"/>
      <c r="S1206" s="299"/>
      <c r="T1206" s="59"/>
      <c r="U1206" s="59"/>
      <c r="V1206" s="59"/>
      <c r="W1206" s="59"/>
      <c r="X1206" s="59"/>
      <c r="Y1206" s="59"/>
      <c r="Z1206" s="59"/>
      <c r="AA1206" s="59"/>
      <c r="AB1206" s="59"/>
      <c r="AC1206" s="59"/>
    </row>
    <row r="1207" ht="15.75" customHeight="1">
      <c r="A1207" s="298"/>
      <c r="B1207" s="299"/>
      <c r="C1207" s="299"/>
      <c r="D1207" s="299"/>
      <c r="E1207" s="300"/>
      <c r="F1207" s="299"/>
      <c r="G1207" s="299"/>
      <c r="H1207" s="301"/>
      <c r="I1207" s="301"/>
      <c r="J1207" s="301"/>
      <c r="K1207" s="301"/>
      <c r="L1207" s="299"/>
      <c r="M1207" s="299"/>
      <c r="N1207" s="299"/>
      <c r="O1207" s="299"/>
      <c r="P1207" s="299"/>
      <c r="Q1207" s="299"/>
      <c r="R1207" s="299"/>
      <c r="S1207" s="299"/>
      <c r="T1207" s="59"/>
      <c r="U1207" s="59"/>
      <c r="V1207" s="59"/>
      <c r="W1207" s="59"/>
      <c r="X1207" s="59"/>
      <c r="Y1207" s="59"/>
      <c r="Z1207" s="59"/>
      <c r="AA1207" s="59"/>
      <c r="AB1207" s="59"/>
      <c r="AC1207" s="59"/>
    </row>
    <row r="1208" ht="15.75" customHeight="1">
      <c r="A1208" s="298"/>
      <c r="B1208" s="299"/>
      <c r="C1208" s="299"/>
      <c r="D1208" s="299"/>
      <c r="E1208" s="300"/>
      <c r="F1208" s="299"/>
      <c r="G1208" s="299"/>
      <c r="H1208" s="301"/>
      <c r="I1208" s="301"/>
      <c r="J1208" s="301"/>
      <c r="K1208" s="301"/>
      <c r="L1208" s="299"/>
      <c r="M1208" s="299"/>
      <c r="N1208" s="299"/>
      <c r="O1208" s="299"/>
      <c r="P1208" s="299"/>
      <c r="Q1208" s="299"/>
      <c r="R1208" s="299"/>
      <c r="S1208" s="299"/>
      <c r="T1208" s="59"/>
      <c r="U1208" s="59"/>
      <c r="V1208" s="59"/>
      <c r="W1208" s="59"/>
      <c r="X1208" s="59"/>
      <c r="Y1208" s="59"/>
      <c r="Z1208" s="59"/>
      <c r="AA1208" s="59"/>
      <c r="AB1208" s="59"/>
      <c r="AC1208" s="59"/>
    </row>
    <row r="1209" ht="15.75" customHeight="1">
      <c r="A1209" s="298"/>
      <c r="B1209" s="299"/>
      <c r="C1209" s="299"/>
      <c r="D1209" s="299"/>
      <c r="E1209" s="300"/>
      <c r="F1209" s="299"/>
      <c r="G1209" s="299"/>
      <c r="H1209" s="301"/>
      <c r="I1209" s="301"/>
      <c r="J1209" s="301"/>
      <c r="K1209" s="301"/>
      <c r="L1209" s="299"/>
      <c r="M1209" s="299"/>
      <c r="N1209" s="299"/>
      <c r="O1209" s="299"/>
      <c r="P1209" s="299"/>
      <c r="Q1209" s="299"/>
      <c r="R1209" s="299"/>
      <c r="S1209" s="299"/>
      <c r="T1209" s="59"/>
      <c r="U1209" s="59"/>
      <c r="V1209" s="59"/>
      <c r="W1209" s="59"/>
      <c r="X1209" s="59"/>
      <c r="Y1209" s="59"/>
      <c r="Z1209" s="59"/>
      <c r="AA1209" s="59"/>
      <c r="AB1209" s="59"/>
      <c r="AC1209" s="59"/>
    </row>
    <row r="1210" ht="15.75" customHeight="1">
      <c r="A1210" s="298"/>
      <c r="B1210" s="299"/>
      <c r="C1210" s="299"/>
      <c r="D1210" s="299"/>
      <c r="E1210" s="300"/>
      <c r="F1210" s="299"/>
      <c r="G1210" s="299"/>
      <c r="H1210" s="301"/>
      <c r="I1210" s="301"/>
      <c r="J1210" s="301"/>
      <c r="K1210" s="301"/>
      <c r="L1210" s="299"/>
      <c r="M1210" s="299"/>
      <c r="N1210" s="299"/>
      <c r="O1210" s="299"/>
      <c r="P1210" s="299"/>
      <c r="Q1210" s="299"/>
      <c r="R1210" s="299"/>
      <c r="S1210" s="299"/>
      <c r="T1210" s="59"/>
      <c r="U1210" s="59"/>
      <c r="V1210" s="59"/>
      <c r="W1210" s="59"/>
      <c r="X1210" s="59"/>
      <c r="Y1210" s="59"/>
      <c r="Z1210" s="59"/>
      <c r="AA1210" s="59"/>
      <c r="AB1210" s="59"/>
      <c r="AC1210" s="59"/>
    </row>
    <row r="1211" ht="15.75" customHeight="1">
      <c r="A1211" s="298"/>
      <c r="B1211" s="299"/>
      <c r="C1211" s="299"/>
      <c r="D1211" s="299"/>
      <c r="E1211" s="300"/>
      <c r="F1211" s="299"/>
      <c r="G1211" s="299"/>
      <c r="H1211" s="301"/>
      <c r="I1211" s="301"/>
      <c r="J1211" s="301"/>
      <c r="K1211" s="301"/>
      <c r="L1211" s="299"/>
      <c r="M1211" s="299"/>
      <c r="N1211" s="299"/>
      <c r="O1211" s="299"/>
      <c r="P1211" s="299"/>
      <c r="Q1211" s="299"/>
      <c r="R1211" s="299"/>
      <c r="S1211" s="299"/>
      <c r="T1211" s="59"/>
      <c r="U1211" s="59"/>
      <c r="V1211" s="59"/>
      <c r="W1211" s="59"/>
      <c r="X1211" s="59"/>
      <c r="Y1211" s="59"/>
      <c r="Z1211" s="59"/>
      <c r="AA1211" s="59"/>
      <c r="AB1211" s="59"/>
      <c r="AC1211" s="59"/>
    </row>
    <row r="1212" ht="15.75" customHeight="1">
      <c r="A1212" s="298"/>
      <c r="B1212" s="299"/>
      <c r="C1212" s="299"/>
      <c r="D1212" s="299"/>
      <c r="E1212" s="300"/>
      <c r="F1212" s="299"/>
      <c r="G1212" s="299"/>
      <c r="H1212" s="301"/>
      <c r="I1212" s="301"/>
      <c r="J1212" s="301"/>
      <c r="K1212" s="301"/>
      <c r="L1212" s="299"/>
      <c r="M1212" s="299"/>
      <c r="N1212" s="299"/>
      <c r="O1212" s="299"/>
      <c r="P1212" s="299"/>
      <c r="Q1212" s="299"/>
      <c r="R1212" s="299"/>
      <c r="S1212" s="299"/>
      <c r="T1212" s="59"/>
      <c r="U1212" s="59"/>
      <c r="V1212" s="59"/>
      <c r="W1212" s="59"/>
      <c r="X1212" s="59"/>
      <c r="Y1212" s="59"/>
      <c r="Z1212" s="59"/>
      <c r="AA1212" s="59"/>
      <c r="AB1212" s="59"/>
      <c r="AC1212" s="59"/>
    </row>
    <row r="1213" ht="15.75" customHeight="1">
      <c r="A1213" s="298"/>
      <c r="B1213" s="299"/>
      <c r="C1213" s="299"/>
      <c r="D1213" s="299"/>
      <c r="E1213" s="300"/>
      <c r="F1213" s="299"/>
      <c r="G1213" s="299"/>
      <c r="H1213" s="301"/>
      <c r="I1213" s="301"/>
      <c r="J1213" s="301"/>
      <c r="K1213" s="301"/>
      <c r="L1213" s="299"/>
      <c r="M1213" s="299"/>
      <c r="N1213" s="299"/>
      <c r="O1213" s="299"/>
      <c r="P1213" s="299"/>
      <c r="Q1213" s="299"/>
      <c r="R1213" s="299"/>
      <c r="S1213" s="299"/>
      <c r="T1213" s="59"/>
      <c r="U1213" s="59"/>
      <c r="V1213" s="59"/>
      <c r="W1213" s="59"/>
      <c r="X1213" s="59"/>
      <c r="Y1213" s="59"/>
      <c r="Z1213" s="59"/>
      <c r="AA1213" s="59"/>
      <c r="AB1213" s="59"/>
      <c r="AC1213" s="59"/>
    </row>
    <row r="1214" ht="15.75" customHeight="1">
      <c r="A1214" s="298"/>
      <c r="B1214" s="299"/>
      <c r="C1214" s="299"/>
      <c r="D1214" s="299"/>
      <c r="E1214" s="300"/>
      <c r="F1214" s="299"/>
      <c r="G1214" s="299"/>
      <c r="H1214" s="301"/>
      <c r="I1214" s="301"/>
      <c r="J1214" s="301"/>
      <c r="K1214" s="301"/>
      <c r="L1214" s="299"/>
      <c r="M1214" s="299"/>
      <c r="N1214" s="299"/>
      <c r="O1214" s="299"/>
      <c r="P1214" s="299"/>
      <c r="Q1214" s="299"/>
      <c r="R1214" s="299"/>
      <c r="S1214" s="299"/>
      <c r="T1214" s="59"/>
      <c r="U1214" s="59"/>
      <c r="V1214" s="59"/>
      <c r="W1214" s="59"/>
      <c r="X1214" s="59"/>
      <c r="Y1214" s="59"/>
      <c r="Z1214" s="59"/>
      <c r="AA1214" s="59"/>
      <c r="AB1214" s="59"/>
      <c r="AC1214" s="59"/>
    </row>
    <row r="1215" ht="15.75" customHeight="1">
      <c r="A1215" s="298"/>
      <c r="B1215" s="299"/>
      <c r="C1215" s="299"/>
      <c r="D1215" s="299"/>
      <c r="E1215" s="300"/>
      <c r="F1215" s="299"/>
      <c r="G1215" s="299"/>
      <c r="H1215" s="301"/>
      <c r="I1215" s="301"/>
      <c r="J1215" s="301"/>
      <c r="K1215" s="301"/>
      <c r="L1215" s="299"/>
      <c r="M1215" s="299"/>
      <c r="N1215" s="299"/>
      <c r="O1215" s="299"/>
      <c r="P1215" s="299"/>
      <c r="Q1215" s="299"/>
      <c r="R1215" s="299"/>
      <c r="S1215" s="299"/>
      <c r="T1215" s="59"/>
      <c r="U1215" s="59"/>
      <c r="V1215" s="59"/>
      <c r="W1215" s="59"/>
      <c r="X1215" s="59"/>
      <c r="Y1215" s="59"/>
      <c r="Z1215" s="59"/>
      <c r="AA1215" s="59"/>
      <c r="AB1215" s="59"/>
      <c r="AC1215" s="59"/>
    </row>
    <row r="1216" ht="15.75" customHeight="1">
      <c r="A1216" s="298"/>
      <c r="B1216" s="299"/>
      <c r="C1216" s="299"/>
      <c r="D1216" s="299"/>
      <c r="E1216" s="300"/>
      <c r="F1216" s="299"/>
      <c r="G1216" s="299"/>
      <c r="H1216" s="301"/>
      <c r="I1216" s="301"/>
      <c r="J1216" s="301"/>
      <c r="K1216" s="301"/>
      <c r="L1216" s="299"/>
      <c r="M1216" s="299"/>
      <c r="N1216" s="299"/>
      <c r="O1216" s="299"/>
      <c r="P1216" s="299"/>
      <c r="Q1216" s="299"/>
      <c r="R1216" s="299"/>
      <c r="S1216" s="299"/>
      <c r="T1216" s="59"/>
      <c r="U1216" s="59"/>
      <c r="V1216" s="59"/>
      <c r="W1216" s="59"/>
      <c r="X1216" s="59"/>
      <c r="Y1216" s="59"/>
      <c r="Z1216" s="59"/>
      <c r="AA1216" s="59"/>
      <c r="AB1216" s="59"/>
      <c r="AC1216" s="59"/>
    </row>
    <row r="1217" ht="15.75" customHeight="1">
      <c r="A1217" s="298"/>
      <c r="B1217" s="299"/>
      <c r="C1217" s="299"/>
      <c r="D1217" s="299"/>
      <c r="E1217" s="300"/>
      <c r="F1217" s="299"/>
      <c r="G1217" s="299"/>
      <c r="H1217" s="301"/>
      <c r="I1217" s="301"/>
      <c r="J1217" s="301"/>
      <c r="K1217" s="301"/>
      <c r="L1217" s="299"/>
      <c r="M1217" s="299"/>
      <c r="N1217" s="299"/>
      <c r="O1217" s="299"/>
      <c r="P1217" s="299"/>
      <c r="Q1217" s="299"/>
      <c r="R1217" s="299"/>
      <c r="S1217" s="299"/>
      <c r="T1217" s="59"/>
      <c r="U1217" s="59"/>
      <c r="V1217" s="59"/>
      <c r="W1217" s="59"/>
      <c r="X1217" s="59"/>
      <c r="Y1217" s="59"/>
      <c r="Z1217" s="59"/>
      <c r="AA1217" s="59"/>
      <c r="AB1217" s="59"/>
      <c r="AC1217" s="59"/>
    </row>
    <row r="1218" ht="15.75" customHeight="1">
      <c r="A1218" s="298"/>
      <c r="B1218" s="299"/>
      <c r="C1218" s="299"/>
      <c r="D1218" s="299"/>
      <c r="E1218" s="300"/>
      <c r="F1218" s="299"/>
      <c r="G1218" s="299"/>
      <c r="H1218" s="301"/>
      <c r="I1218" s="301"/>
      <c r="J1218" s="301"/>
      <c r="K1218" s="301"/>
      <c r="L1218" s="299"/>
      <c r="M1218" s="299"/>
      <c r="N1218" s="299"/>
      <c r="O1218" s="299"/>
      <c r="P1218" s="299"/>
      <c r="Q1218" s="299"/>
      <c r="R1218" s="299"/>
      <c r="S1218" s="299"/>
      <c r="T1218" s="59"/>
      <c r="U1218" s="59"/>
      <c r="V1218" s="59"/>
      <c r="W1218" s="59"/>
      <c r="X1218" s="59"/>
      <c r="Y1218" s="59"/>
      <c r="Z1218" s="59"/>
      <c r="AA1218" s="59"/>
      <c r="AB1218" s="59"/>
      <c r="AC1218" s="59"/>
    </row>
    <row r="1219" ht="15.75" customHeight="1">
      <c r="A1219" s="298"/>
      <c r="B1219" s="299"/>
      <c r="C1219" s="299"/>
      <c r="D1219" s="299"/>
      <c r="E1219" s="300"/>
      <c r="F1219" s="299"/>
      <c r="G1219" s="299"/>
      <c r="H1219" s="301"/>
      <c r="I1219" s="301"/>
      <c r="J1219" s="301"/>
      <c r="K1219" s="301"/>
      <c r="L1219" s="299"/>
      <c r="M1219" s="299"/>
      <c r="N1219" s="299"/>
      <c r="O1219" s="299"/>
      <c r="P1219" s="299"/>
      <c r="Q1219" s="299"/>
      <c r="R1219" s="299"/>
      <c r="S1219" s="299"/>
      <c r="T1219" s="59"/>
      <c r="U1219" s="59"/>
      <c r="V1219" s="59"/>
      <c r="W1219" s="59"/>
      <c r="X1219" s="59"/>
      <c r="Y1219" s="59"/>
      <c r="Z1219" s="59"/>
      <c r="AA1219" s="59"/>
      <c r="AB1219" s="59"/>
      <c r="AC1219" s="59"/>
    </row>
    <row r="1220" ht="15.75" customHeight="1">
      <c r="A1220" s="298"/>
      <c r="B1220" s="299"/>
      <c r="C1220" s="299"/>
      <c r="D1220" s="299"/>
      <c r="E1220" s="300"/>
      <c r="F1220" s="299"/>
      <c r="G1220" s="299"/>
      <c r="H1220" s="301"/>
      <c r="I1220" s="301"/>
      <c r="J1220" s="301"/>
      <c r="K1220" s="301"/>
      <c r="L1220" s="299"/>
      <c r="M1220" s="299"/>
      <c r="N1220" s="299"/>
      <c r="O1220" s="299"/>
      <c r="P1220" s="299"/>
      <c r="Q1220" s="299"/>
      <c r="R1220" s="299"/>
      <c r="S1220" s="299"/>
      <c r="T1220" s="59"/>
      <c r="U1220" s="59"/>
      <c r="V1220" s="59"/>
      <c r="W1220" s="59"/>
      <c r="X1220" s="59"/>
      <c r="Y1220" s="59"/>
      <c r="Z1220" s="59"/>
      <c r="AA1220" s="59"/>
      <c r="AB1220" s="59"/>
      <c r="AC1220" s="59"/>
    </row>
    <row r="1221" ht="15.75" customHeight="1">
      <c r="A1221" s="298"/>
      <c r="B1221" s="299"/>
      <c r="C1221" s="299"/>
      <c r="D1221" s="299"/>
      <c r="E1221" s="300"/>
      <c r="F1221" s="299"/>
      <c r="G1221" s="299"/>
      <c r="H1221" s="301"/>
      <c r="I1221" s="301"/>
      <c r="J1221" s="301"/>
      <c r="K1221" s="301"/>
      <c r="L1221" s="299"/>
      <c r="M1221" s="299"/>
      <c r="N1221" s="299"/>
      <c r="O1221" s="299"/>
      <c r="P1221" s="299"/>
      <c r="Q1221" s="299"/>
      <c r="R1221" s="299"/>
      <c r="S1221" s="299"/>
      <c r="T1221" s="59"/>
      <c r="U1221" s="59"/>
      <c r="V1221" s="59"/>
      <c r="W1221" s="59"/>
      <c r="X1221" s="59"/>
      <c r="Y1221" s="59"/>
      <c r="Z1221" s="59"/>
      <c r="AA1221" s="59"/>
      <c r="AB1221" s="59"/>
      <c r="AC1221" s="59"/>
    </row>
    <row r="1222" ht="15.75" customHeight="1">
      <c r="A1222" s="298"/>
      <c r="B1222" s="299"/>
      <c r="C1222" s="299"/>
      <c r="D1222" s="299"/>
      <c r="E1222" s="300"/>
      <c r="F1222" s="299"/>
      <c r="G1222" s="299"/>
      <c r="H1222" s="301"/>
      <c r="I1222" s="301"/>
      <c r="J1222" s="301"/>
      <c r="K1222" s="301"/>
      <c r="L1222" s="299"/>
      <c r="M1222" s="299"/>
      <c r="N1222" s="299"/>
      <c r="O1222" s="299"/>
      <c r="P1222" s="299"/>
      <c r="Q1222" s="299"/>
      <c r="R1222" s="299"/>
      <c r="S1222" s="299"/>
      <c r="T1222" s="59"/>
      <c r="U1222" s="59"/>
      <c r="V1222" s="59"/>
      <c r="W1222" s="59"/>
      <c r="X1222" s="59"/>
      <c r="Y1222" s="59"/>
      <c r="Z1222" s="59"/>
      <c r="AA1222" s="59"/>
      <c r="AB1222" s="59"/>
      <c r="AC1222" s="59"/>
    </row>
    <row r="1223" ht="15.75" customHeight="1">
      <c r="A1223" s="298"/>
      <c r="B1223" s="299"/>
      <c r="C1223" s="299"/>
      <c r="D1223" s="299"/>
      <c r="E1223" s="300"/>
      <c r="F1223" s="299"/>
      <c r="G1223" s="299"/>
      <c r="H1223" s="301"/>
      <c r="I1223" s="301"/>
      <c r="J1223" s="301"/>
      <c r="K1223" s="301"/>
      <c r="L1223" s="299"/>
      <c r="M1223" s="299"/>
      <c r="N1223" s="299"/>
      <c r="O1223" s="299"/>
      <c r="P1223" s="299"/>
      <c r="Q1223" s="299"/>
      <c r="R1223" s="299"/>
      <c r="S1223" s="299"/>
      <c r="T1223" s="59"/>
      <c r="U1223" s="59"/>
      <c r="V1223" s="59"/>
      <c r="W1223" s="59"/>
      <c r="X1223" s="59"/>
      <c r="Y1223" s="59"/>
      <c r="Z1223" s="59"/>
      <c r="AA1223" s="59"/>
      <c r="AB1223" s="59"/>
      <c r="AC1223" s="59"/>
    </row>
    <row r="1224" ht="15.75" customHeight="1">
      <c r="A1224" s="298"/>
      <c r="B1224" s="299"/>
      <c r="C1224" s="299"/>
      <c r="D1224" s="299"/>
      <c r="E1224" s="300"/>
      <c r="F1224" s="299"/>
      <c r="G1224" s="299"/>
      <c r="H1224" s="301"/>
      <c r="I1224" s="301"/>
      <c r="J1224" s="301"/>
      <c r="K1224" s="301"/>
      <c r="L1224" s="299"/>
      <c r="M1224" s="299"/>
      <c r="N1224" s="299"/>
      <c r="O1224" s="299"/>
      <c r="P1224" s="299"/>
      <c r="Q1224" s="299"/>
      <c r="R1224" s="299"/>
      <c r="S1224" s="299"/>
      <c r="T1224" s="59"/>
      <c r="U1224" s="59"/>
      <c r="V1224" s="59"/>
      <c r="W1224" s="59"/>
      <c r="X1224" s="59"/>
      <c r="Y1224" s="59"/>
      <c r="Z1224" s="59"/>
      <c r="AA1224" s="59"/>
      <c r="AB1224" s="59"/>
      <c r="AC1224" s="59"/>
    </row>
    <row r="1225" ht="15.75" customHeight="1">
      <c r="A1225" s="298"/>
      <c r="B1225" s="299"/>
      <c r="C1225" s="299"/>
      <c r="D1225" s="299"/>
      <c r="E1225" s="300"/>
      <c r="F1225" s="299"/>
      <c r="G1225" s="299"/>
      <c r="H1225" s="301"/>
      <c r="I1225" s="301"/>
      <c r="J1225" s="301"/>
      <c r="K1225" s="301"/>
      <c r="L1225" s="299"/>
      <c r="M1225" s="299"/>
      <c r="N1225" s="299"/>
      <c r="O1225" s="299"/>
      <c r="P1225" s="299"/>
      <c r="Q1225" s="299"/>
      <c r="R1225" s="299"/>
      <c r="S1225" s="299"/>
      <c r="T1225" s="59"/>
      <c r="U1225" s="59"/>
      <c r="V1225" s="59"/>
      <c r="W1225" s="59"/>
      <c r="X1225" s="59"/>
      <c r="Y1225" s="59"/>
      <c r="Z1225" s="59"/>
      <c r="AA1225" s="59"/>
      <c r="AB1225" s="59"/>
      <c r="AC1225" s="59"/>
    </row>
    <row r="1226" ht="15.75" customHeight="1">
      <c r="A1226" s="298"/>
      <c r="B1226" s="299"/>
      <c r="C1226" s="299"/>
      <c r="D1226" s="299"/>
      <c r="E1226" s="300"/>
      <c r="F1226" s="299"/>
      <c r="G1226" s="299"/>
      <c r="H1226" s="301"/>
      <c r="I1226" s="301"/>
      <c r="J1226" s="301"/>
      <c r="K1226" s="301"/>
      <c r="L1226" s="299"/>
      <c r="M1226" s="299"/>
      <c r="N1226" s="299"/>
      <c r="O1226" s="299"/>
      <c r="P1226" s="299"/>
      <c r="Q1226" s="299"/>
      <c r="R1226" s="299"/>
      <c r="S1226" s="299"/>
      <c r="T1226" s="59"/>
      <c r="U1226" s="59"/>
      <c r="V1226" s="59"/>
      <c r="W1226" s="59"/>
      <c r="X1226" s="59"/>
      <c r="Y1226" s="59"/>
      <c r="Z1226" s="59"/>
      <c r="AA1226" s="59"/>
      <c r="AB1226" s="59"/>
      <c r="AC1226" s="59"/>
    </row>
    <row r="1227" ht="15.75" customHeight="1">
      <c r="A1227" s="298"/>
      <c r="B1227" s="299"/>
      <c r="C1227" s="299"/>
      <c r="D1227" s="299"/>
      <c r="E1227" s="300"/>
      <c r="F1227" s="299"/>
      <c r="G1227" s="299"/>
      <c r="H1227" s="301"/>
      <c r="I1227" s="301"/>
      <c r="J1227" s="301"/>
      <c r="K1227" s="301"/>
      <c r="L1227" s="299"/>
      <c r="M1227" s="299"/>
      <c r="N1227" s="299"/>
      <c r="O1227" s="299"/>
      <c r="P1227" s="299"/>
      <c r="Q1227" s="299"/>
      <c r="R1227" s="299"/>
      <c r="S1227" s="299"/>
      <c r="T1227" s="59"/>
      <c r="U1227" s="59"/>
      <c r="V1227" s="59"/>
      <c r="W1227" s="59"/>
      <c r="X1227" s="59"/>
      <c r="Y1227" s="59"/>
      <c r="Z1227" s="59"/>
      <c r="AA1227" s="59"/>
      <c r="AB1227" s="59"/>
      <c r="AC1227" s="59"/>
    </row>
    <row r="1228" ht="15.75" customHeight="1">
      <c r="A1228" s="298"/>
      <c r="B1228" s="299"/>
      <c r="C1228" s="299"/>
      <c r="D1228" s="299"/>
      <c r="E1228" s="300"/>
      <c r="F1228" s="299"/>
      <c r="G1228" s="299"/>
      <c r="H1228" s="301"/>
      <c r="I1228" s="301"/>
      <c r="J1228" s="301"/>
      <c r="K1228" s="301"/>
      <c r="L1228" s="299"/>
      <c r="M1228" s="299"/>
      <c r="N1228" s="299"/>
      <c r="O1228" s="299"/>
      <c r="P1228" s="299"/>
      <c r="Q1228" s="299"/>
      <c r="R1228" s="299"/>
      <c r="S1228" s="299"/>
      <c r="T1228" s="59"/>
      <c r="U1228" s="59"/>
      <c r="V1228" s="59"/>
      <c r="W1228" s="59"/>
      <c r="X1228" s="59"/>
      <c r="Y1228" s="59"/>
      <c r="Z1228" s="59"/>
      <c r="AA1228" s="59"/>
      <c r="AB1228" s="59"/>
      <c r="AC1228" s="59"/>
    </row>
    <row r="1229" ht="15.75" customHeight="1">
      <c r="A1229" s="298"/>
      <c r="B1229" s="299"/>
      <c r="C1229" s="299"/>
      <c r="D1229" s="299"/>
      <c r="E1229" s="300"/>
      <c r="F1229" s="299"/>
      <c r="G1229" s="299"/>
      <c r="H1229" s="301"/>
      <c r="I1229" s="301"/>
      <c r="J1229" s="301"/>
      <c r="K1229" s="301"/>
      <c r="L1229" s="299"/>
      <c r="M1229" s="299"/>
      <c r="N1229" s="299"/>
      <c r="O1229" s="299"/>
      <c r="P1229" s="299"/>
      <c r="Q1229" s="299"/>
      <c r="R1229" s="299"/>
      <c r="S1229" s="299"/>
      <c r="T1229" s="59"/>
      <c r="U1229" s="59"/>
      <c r="V1229" s="59"/>
      <c r="W1229" s="59"/>
      <c r="X1229" s="59"/>
      <c r="Y1229" s="59"/>
      <c r="Z1229" s="59"/>
      <c r="AA1229" s="59"/>
      <c r="AB1229" s="59"/>
      <c r="AC1229" s="59"/>
    </row>
    <row r="1230" ht="15.75" customHeight="1">
      <c r="A1230" s="298"/>
      <c r="B1230" s="299"/>
      <c r="C1230" s="299"/>
      <c r="D1230" s="299"/>
      <c r="E1230" s="300"/>
      <c r="F1230" s="299"/>
      <c r="G1230" s="299"/>
      <c r="H1230" s="301"/>
      <c r="I1230" s="301"/>
      <c r="J1230" s="301"/>
      <c r="K1230" s="301"/>
      <c r="L1230" s="299"/>
      <c r="M1230" s="299"/>
      <c r="N1230" s="299"/>
      <c r="O1230" s="299"/>
      <c r="P1230" s="299"/>
      <c r="Q1230" s="299"/>
      <c r="R1230" s="299"/>
      <c r="S1230" s="299"/>
      <c r="T1230" s="59"/>
      <c r="U1230" s="59"/>
      <c r="V1230" s="59"/>
      <c r="W1230" s="59"/>
      <c r="X1230" s="59"/>
      <c r="Y1230" s="59"/>
      <c r="Z1230" s="59"/>
      <c r="AA1230" s="59"/>
      <c r="AB1230" s="59"/>
      <c r="AC1230" s="59"/>
    </row>
    <row r="1231" ht="15.75" customHeight="1">
      <c r="A1231" s="298"/>
      <c r="B1231" s="299"/>
      <c r="C1231" s="299"/>
      <c r="D1231" s="299"/>
      <c r="E1231" s="300"/>
      <c r="F1231" s="299"/>
      <c r="G1231" s="299"/>
      <c r="H1231" s="301"/>
      <c r="I1231" s="301"/>
      <c r="J1231" s="301"/>
      <c r="K1231" s="301"/>
      <c r="L1231" s="299"/>
      <c r="M1231" s="299"/>
      <c r="N1231" s="299"/>
      <c r="O1231" s="299"/>
      <c r="P1231" s="299"/>
      <c r="Q1231" s="299"/>
      <c r="R1231" s="299"/>
      <c r="S1231" s="299"/>
      <c r="T1231" s="59"/>
      <c r="U1231" s="59"/>
      <c r="V1231" s="59"/>
      <c r="W1231" s="59"/>
      <c r="X1231" s="59"/>
      <c r="Y1231" s="59"/>
      <c r="Z1231" s="59"/>
      <c r="AA1231" s="59"/>
      <c r="AB1231" s="59"/>
      <c r="AC1231" s="59"/>
    </row>
    <row r="1232" ht="15.75" customHeight="1">
      <c r="A1232" s="298"/>
      <c r="B1232" s="299"/>
      <c r="C1232" s="299"/>
      <c r="D1232" s="299"/>
      <c r="E1232" s="300"/>
      <c r="F1232" s="299"/>
      <c r="G1232" s="299"/>
      <c r="H1232" s="301"/>
      <c r="I1232" s="301"/>
      <c r="J1232" s="301"/>
      <c r="K1232" s="301"/>
      <c r="L1232" s="299"/>
      <c r="M1232" s="299"/>
      <c r="N1232" s="299"/>
      <c r="O1232" s="299"/>
      <c r="P1232" s="299"/>
      <c r="Q1232" s="299"/>
      <c r="R1232" s="299"/>
      <c r="S1232" s="299"/>
      <c r="T1232" s="59"/>
      <c r="U1232" s="59"/>
      <c r="V1232" s="59"/>
      <c r="W1232" s="59"/>
      <c r="X1232" s="59"/>
      <c r="Y1232" s="59"/>
      <c r="Z1232" s="59"/>
      <c r="AA1232" s="59"/>
      <c r="AB1232" s="59"/>
      <c r="AC1232" s="59"/>
    </row>
    <row r="1233" ht="15.75" customHeight="1">
      <c r="A1233" s="298"/>
      <c r="B1233" s="299"/>
      <c r="C1233" s="299"/>
      <c r="D1233" s="299"/>
      <c r="E1233" s="300"/>
      <c r="F1233" s="299"/>
      <c r="G1233" s="299"/>
      <c r="H1233" s="301"/>
      <c r="I1233" s="301"/>
      <c r="J1233" s="301"/>
      <c r="K1233" s="301"/>
      <c r="L1233" s="299"/>
      <c r="M1233" s="299"/>
      <c r="N1233" s="299"/>
      <c r="O1233" s="299"/>
      <c r="P1233" s="299"/>
      <c r="Q1233" s="299"/>
      <c r="R1233" s="299"/>
      <c r="S1233" s="299"/>
      <c r="T1233" s="59"/>
      <c r="U1233" s="59"/>
      <c r="V1233" s="59"/>
      <c r="W1233" s="59"/>
      <c r="X1233" s="59"/>
      <c r="Y1233" s="59"/>
      <c r="Z1233" s="59"/>
      <c r="AA1233" s="59"/>
      <c r="AB1233" s="59"/>
      <c r="AC1233" s="59"/>
    </row>
    <row r="1234" ht="15.75" customHeight="1">
      <c r="A1234" s="298"/>
      <c r="B1234" s="299"/>
      <c r="C1234" s="299"/>
      <c r="D1234" s="299"/>
      <c r="E1234" s="300"/>
      <c r="F1234" s="299"/>
      <c r="G1234" s="299"/>
      <c r="H1234" s="301"/>
      <c r="I1234" s="301"/>
      <c r="J1234" s="301"/>
      <c r="K1234" s="301"/>
      <c r="L1234" s="299"/>
      <c r="M1234" s="299"/>
      <c r="N1234" s="299"/>
      <c r="O1234" s="299"/>
      <c r="P1234" s="299"/>
      <c r="Q1234" s="299"/>
      <c r="R1234" s="299"/>
      <c r="S1234" s="299"/>
      <c r="T1234" s="59"/>
      <c r="U1234" s="59"/>
      <c r="V1234" s="59"/>
      <c r="W1234" s="59"/>
      <c r="X1234" s="59"/>
      <c r="Y1234" s="59"/>
      <c r="Z1234" s="59"/>
      <c r="AA1234" s="59"/>
      <c r="AB1234" s="59"/>
      <c r="AC1234" s="59"/>
    </row>
    <row r="1235" ht="15.75" customHeight="1">
      <c r="A1235" s="298"/>
      <c r="B1235" s="299"/>
      <c r="C1235" s="299"/>
      <c r="D1235" s="299"/>
      <c r="E1235" s="300"/>
      <c r="F1235" s="299"/>
      <c r="G1235" s="299"/>
      <c r="H1235" s="301"/>
      <c r="I1235" s="301"/>
      <c r="J1235" s="301"/>
      <c r="K1235" s="301"/>
      <c r="L1235" s="299"/>
      <c r="M1235" s="299"/>
      <c r="N1235" s="299"/>
      <c r="O1235" s="299"/>
      <c r="P1235" s="299"/>
      <c r="Q1235" s="299"/>
      <c r="R1235" s="299"/>
      <c r="S1235" s="299"/>
      <c r="T1235" s="59"/>
      <c r="U1235" s="59"/>
      <c r="V1235" s="59"/>
      <c r="W1235" s="59"/>
      <c r="X1235" s="59"/>
      <c r="Y1235" s="59"/>
      <c r="Z1235" s="59"/>
      <c r="AA1235" s="59"/>
      <c r="AB1235" s="59"/>
      <c r="AC1235" s="59"/>
    </row>
    <row r="1236" ht="15.75" customHeight="1">
      <c r="A1236" s="298"/>
      <c r="B1236" s="299"/>
      <c r="C1236" s="299"/>
      <c r="D1236" s="299"/>
      <c r="E1236" s="300"/>
      <c r="F1236" s="299"/>
      <c r="G1236" s="299"/>
      <c r="H1236" s="301"/>
      <c r="I1236" s="301"/>
      <c r="J1236" s="301"/>
      <c r="K1236" s="301"/>
      <c r="L1236" s="299"/>
      <c r="M1236" s="299"/>
      <c r="N1236" s="299"/>
      <c r="O1236" s="299"/>
      <c r="P1236" s="299"/>
      <c r="Q1236" s="299"/>
      <c r="R1236" s="299"/>
      <c r="S1236" s="299"/>
      <c r="T1236" s="59"/>
      <c r="U1236" s="59"/>
      <c r="V1236" s="59"/>
      <c r="W1236" s="59"/>
      <c r="X1236" s="59"/>
      <c r="Y1236" s="59"/>
      <c r="Z1236" s="59"/>
      <c r="AA1236" s="59"/>
      <c r="AB1236" s="59"/>
      <c r="AC1236" s="59"/>
    </row>
    <row r="1237" ht="15.75" customHeight="1">
      <c r="A1237" s="298"/>
      <c r="B1237" s="299"/>
      <c r="C1237" s="299"/>
      <c r="D1237" s="299"/>
      <c r="E1237" s="300"/>
      <c r="F1237" s="299"/>
      <c r="G1237" s="299"/>
      <c r="H1237" s="301"/>
      <c r="I1237" s="301"/>
      <c r="J1237" s="301"/>
      <c r="K1237" s="301"/>
      <c r="L1237" s="299"/>
      <c r="M1237" s="299"/>
      <c r="N1237" s="299"/>
      <c r="O1237" s="299"/>
      <c r="P1237" s="299"/>
      <c r="Q1237" s="299"/>
      <c r="R1237" s="299"/>
      <c r="S1237" s="299"/>
      <c r="T1237" s="59"/>
      <c r="U1237" s="59"/>
      <c r="V1237" s="59"/>
      <c r="W1237" s="59"/>
      <c r="X1237" s="59"/>
      <c r="Y1237" s="59"/>
      <c r="Z1237" s="59"/>
      <c r="AA1237" s="59"/>
      <c r="AB1237" s="59"/>
      <c r="AC1237" s="59"/>
    </row>
    <row r="1238" ht="15.75" customHeight="1">
      <c r="A1238" s="298"/>
      <c r="B1238" s="299"/>
      <c r="C1238" s="299"/>
      <c r="D1238" s="299"/>
      <c r="E1238" s="300"/>
      <c r="F1238" s="299"/>
      <c r="G1238" s="299"/>
      <c r="H1238" s="301"/>
      <c r="I1238" s="301"/>
      <c r="J1238" s="301"/>
      <c r="K1238" s="301"/>
      <c r="L1238" s="299"/>
      <c r="M1238" s="299"/>
      <c r="N1238" s="299"/>
      <c r="O1238" s="299"/>
      <c r="P1238" s="299"/>
      <c r="Q1238" s="299"/>
      <c r="R1238" s="299"/>
      <c r="S1238" s="299"/>
      <c r="T1238" s="59"/>
      <c r="U1238" s="59"/>
      <c r="V1238" s="59"/>
      <c r="W1238" s="59"/>
      <c r="X1238" s="59"/>
      <c r="Y1238" s="59"/>
      <c r="Z1238" s="59"/>
      <c r="AA1238" s="59"/>
      <c r="AB1238" s="59"/>
      <c r="AC1238" s="59"/>
    </row>
    <row r="1239" ht="15.75" customHeight="1">
      <c r="A1239" s="298"/>
      <c r="B1239" s="299"/>
      <c r="C1239" s="299"/>
      <c r="D1239" s="299"/>
      <c r="E1239" s="300"/>
      <c r="F1239" s="299"/>
      <c r="G1239" s="299"/>
      <c r="H1239" s="301"/>
      <c r="I1239" s="301"/>
      <c r="J1239" s="301"/>
      <c r="K1239" s="301"/>
      <c r="L1239" s="299"/>
      <c r="M1239" s="299"/>
      <c r="N1239" s="299"/>
      <c r="O1239" s="299"/>
      <c r="P1239" s="299"/>
      <c r="Q1239" s="299"/>
      <c r="R1239" s="299"/>
      <c r="S1239" s="299"/>
      <c r="T1239" s="59"/>
      <c r="U1239" s="59"/>
      <c r="V1239" s="59"/>
      <c r="W1239" s="59"/>
      <c r="X1239" s="59"/>
      <c r="Y1239" s="59"/>
      <c r="Z1239" s="59"/>
      <c r="AA1239" s="59"/>
      <c r="AB1239" s="59"/>
      <c r="AC1239" s="59"/>
    </row>
    <row r="1240" ht="15.75" customHeight="1">
      <c r="A1240" s="298"/>
      <c r="B1240" s="299"/>
      <c r="C1240" s="299"/>
      <c r="D1240" s="299"/>
      <c r="E1240" s="300"/>
      <c r="F1240" s="299"/>
      <c r="G1240" s="299"/>
      <c r="H1240" s="301"/>
      <c r="I1240" s="301"/>
      <c r="J1240" s="301"/>
      <c r="K1240" s="301"/>
      <c r="L1240" s="299"/>
      <c r="M1240" s="299"/>
      <c r="N1240" s="299"/>
      <c r="O1240" s="299"/>
      <c r="P1240" s="299"/>
      <c r="Q1240" s="299"/>
      <c r="R1240" s="299"/>
      <c r="S1240" s="299"/>
      <c r="T1240" s="59"/>
      <c r="U1240" s="59"/>
      <c r="V1240" s="59"/>
      <c r="W1240" s="59"/>
      <c r="X1240" s="59"/>
      <c r="Y1240" s="59"/>
      <c r="Z1240" s="59"/>
      <c r="AA1240" s="59"/>
      <c r="AB1240" s="59"/>
      <c r="AC1240" s="59"/>
    </row>
    <row r="1241" ht="15.75" customHeight="1">
      <c r="A1241" s="298"/>
      <c r="B1241" s="299"/>
      <c r="C1241" s="299"/>
      <c r="D1241" s="299"/>
      <c r="E1241" s="300"/>
      <c r="F1241" s="299"/>
      <c r="G1241" s="299"/>
      <c r="H1241" s="301"/>
      <c r="I1241" s="301"/>
      <c r="J1241" s="301"/>
      <c r="K1241" s="301"/>
      <c r="L1241" s="299"/>
      <c r="M1241" s="299"/>
      <c r="N1241" s="299"/>
      <c r="O1241" s="299"/>
      <c r="P1241" s="299"/>
      <c r="Q1241" s="299"/>
      <c r="R1241" s="299"/>
      <c r="S1241" s="299"/>
      <c r="T1241" s="59"/>
      <c r="U1241" s="59"/>
      <c r="V1241" s="59"/>
      <c r="W1241" s="59"/>
      <c r="X1241" s="59"/>
      <c r="Y1241" s="59"/>
      <c r="Z1241" s="59"/>
      <c r="AA1241" s="59"/>
      <c r="AB1241" s="59"/>
      <c r="AC1241" s="59"/>
    </row>
    <row r="1242" ht="15.75" customHeight="1">
      <c r="A1242" s="298"/>
      <c r="B1242" s="299"/>
      <c r="C1242" s="299"/>
      <c r="D1242" s="299"/>
      <c r="E1242" s="300"/>
      <c r="F1242" s="299"/>
      <c r="G1242" s="299"/>
      <c r="H1242" s="301"/>
      <c r="I1242" s="301"/>
      <c r="J1242" s="301"/>
      <c r="K1242" s="301"/>
      <c r="L1242" s="299"/>
      <c r="M1242" s="299"/>
      <c r="N1242" s="299"/>
      <c r="O1242" s="299"/>
      <c r="P1242" s="299"/>
      <c r="Q1242" s="299"/>
      <c r="R1242" s="299"/>
      <c r="S1242" s="299"/>
      <c r="T1242" s="59"/>
      <c r="U1242" s="59"/>
      <c r="V1242" s="59"/>
      <c r="W1242" s="59"/>
      <c r="X1242" s="59"/>
      <c r="Y1242" s="59"/>
      <c r="Z1242" s="59"/>
      <c r="AA1242" s="59"/>
      <c r="AB1242" s="59"/>
      <c r="AC1242" s="59"/>
    </row>
    <row r="1243" ht="15.75" customHeight="1">
      <c r="A1243" s="298"/>
      <c r="B1243" s="299"/>
      <c r="C1243" s="299"/>
      <c r="D1243" s="299"/>
      <c r="E1243" s="300"/>
      <c r="F1243" s="299"/>
      <c r="G1243" s="299"/>
      <c r="H1243" s="301"/>
      <c r="I1243" s="301"/>
      <c r="J1243" s="301"/>
      <c r="K1243" s="301"/>
      <c r="L1243" s="299"/>
      <c r="M1243" s="299"/>
      <c r="N1243" s="299"/>
      <c r="O1243" s="299"/>
      <c r="P1243" s="299"/>
      <c r="Q1243" s="299"/>
      <c r="R1243" s="299"/>
      <c r="S1243" s="299"/>
      <c r="T1243" s="59"/>
      <c r="U1243" s="59"/>
      <c r="V1243" s="59"/>
      <c r="W1243" s="59"/>
      <c r="X1243" s="59"/>
      <c r="Y1243" s="59"/>
      <c r="Z1243" s="59"/>
      <c r="AA1243" s="59"/>
      <c r="AB1243" s="59"/>
      <c r="AC1243" s="59"/>
    </row>
    <row r="1244" ht="15.75" customHeight="1">
      <c r="A1244" s="298"/>
      <c r="B1244" s="299"/>
      <c r="C1244" s="299"/>
      <c r="D1244" s="299"/>
      <c r="E1244" s="300"/>
      <c r="F1244" s="299"/>
      <c r="G1244" s="299"/>
      <c r="H1244" s="301"/>
      <c r="I1244" s="301"/>
      <c r="J1244" s="301"/>
      <c r="K1244" s="301"/>
      <c r="L1244" s="299"/>
      <c r="M1244" s="299"/>
      <c r="N1244" s="299"/>
      <c r="O1244" s="299"/>
      <c r="P1244" s="299"/>
      <c r="Q1244" s="299"/>
      <c r="R1244" s="299"/>
      <c r="S1244" s="299"/>
      <c r="T1244" s="59"/>
      <c r="U1244" s="59"/>
      <c r="V1244" s="59"/>
      <c r="W1244" s="59"/>
      <c r="X1244" s="59"/>
      <c r="Y1244" s="59"/>
      <c r="Z1244" s="59"/>
      <c r="AA1244" s="59"/>
      <c r="AB1244" s="59"/>
      <c r="AC1244" s="59"/>
    </row>
    <row r="1245" ht="15.75" customHeight="1">
      <c r="A1245" s="298"/>
      <c r="B1245" s="299"/>
      <c r="C1245" s="299"/>
      <c r="D1245" s="299"/>
      <c r="E1245" s="300"/>
      <c r="F1245" s="299"/>
      <c r="G1245" s="299"/>
      <c r="H1245" s="301"/>
      <c r="I1245" s="301"/>
      <c r="J1245" s="301"/>
      <c r="K1245" s="301"/>
      <c r="L1245" s="299"/>
      <c r="M1245" s="299"/>
      <c r="N1245" s="299"/>
      <c r="O1245" s="299"/>
      <c r="P1245" s="299"/>
      <c r="Q1245" s="299"/>
      <c r="R1245" s="299"/>
      <c r="S1245" s="299"/>
      <c r="T1245" s="59"/>
      <c r="U1245" s="59"/>
      <c r="V1245" s="59"/>
      <c r="W1245" s="59"/>
      <c r="X1245" s="59"/>
      <c r="Y1245" s="59"/>
      <c r="Z1245" s="59"/>
      <c r="AA1245" s="59"/>
      <c r="AB1245" s="59"/>
      <c r="AC1245" s="59"/>
    </row>
    <row r="1246" ht="15.75" customHeight="1">
      <c r="A1246" s="298"/>
      <c r="B1246" s="299"/>
      <c r="C1246" s="299"/>
      <c r="D1246" s="299"/>
      <c r="E1246" s="300"/>
      <c r="F1246" s="299"/>
      <c r="G1246" s="299"/>
      <c r="H1246" s="301"/>
      <c r="I1246" s="301"/>
      <c r="J1246" s="301"/>
      <c r="K1246" s="301"/>
      <c r="L1246" s="299"/>
      <c r="M1246" s="299"/>
      <c r="N1246" s="299"/>
      <c r="O1246" s="299"/>
      <c r="P1246" s="299"/>
      <c r="Q1246" s="299"/>
      <c r="R1246" s="299"/>
      <c r="S1246" s="299"/>
      <c r="T1246" s="59"/>
      <c r="U1246" s="59"/>
      <c r="V1246" s="59"/>
      <c r="W1246" s="59"/>
      <c r="X1246" s="59"/>
      <c r="Y1246" s="59"/>
      <c r="Z1246" s="59"/>
      <c r="AA1246" s="59"/>
      <c r="AB1246" s="59"/>
      <c r="AC1246" s="59"/>
    </row>
    <row r="1247" ht="15.75" customHeight="1">
      <c r="A1247" s="298"/>
      <c r="B1247" s="299"/>
      <c r="C1247" s="299"/>
      <c r="D1247" s="299"/>
      <c r="E1247" s="300"/>
      <c r="F1247" s="299"/>
      <c r="G1247" s="299"/>
      <c r="H1247" s="301"/>
      <c r="I1247" s="301"/>
      <c r="J1247" s="301"/>
      <c r="K1247" s="301"/>
      <c r="L1247" s="299"/>
      <c r="M1247" s="299"/>
      <c r="N1247" s="299"/>
      <c r="O1247" s="299"/>
      <c r="P1247" s="299"/>
      <c r="Q1247" s="299"/>
      <c r="R1247" s="299"/>
      <c r="S1247" s="299"/>
      <c r="T1247" s="59"/>
      <c r="U1247" s="59"/>
      <c r="V1247" s="59"/>
      <c r="W1247" s="59"/>
      <c r="X1247" s="59"/>
      <c r="Y1247" s="59"/>
      <c r="Z1247" s="59"/>
      <c r="AA1247" s="59"/>
      <c r="AB1247" s="59"/>
      <c r="AC1247" s="59"/>
    </row>
    <row r="1248" ht="15.75" customHeight="1">
      <c r="A1248" s="298"/>
      <c r="B1248" s="299"/>
      <c r="C1248" s="299"/>
      <c r="D1248" s="299"/>
      <c r="E1248" s="300"/>
      <c r="F1248" s="299"/>
      <c r="G1248" s="299"/>
      <c r="H1248" s="301"/>
      <c r="I1248" s="301"/>
      <c r="J1248" s="301"/>
      <c r="K1248" s="301"/>
      <c r="L1248" s="299"/>
      <c r="M1248" s="299"/>
      <c r="N1248" s="299"/>
      <c r="O1248" s="299"/>
      <c r="P1248" s="299"/>
      <c r="Q1248" s="299"/>
      <c r="R1248" s="299"/>
      <c r="S1248" s="299"/>
      <c r="T1248" s="59"/>
      <c r="U1248" s="59"/>
      <c r="V1248" s="59"/>
      <c r="W1248" s="59"/>
      <c r="X1248" s="59"/>
      <c r="Y1248" s="59"/>
      <c r="Z1248" s="59"/>
      <c r="AA1248" s="59"/>
      <c r="AB1248" s="59"/>
      <c r="AC1248" s="59"/>
    </row>
    <row r="1249" ht="15.75" customHeight="1">
      <c r="A1249" s="298"/>
      <c r="B1249" s="299"/>
      <c r="C1249" s="299"/>
      <c r="D1249" s="299"/>
      <c r="E1249" s="300"/>
      <c r="F1249" s="299"/>
      <c r="G1249" s="299"/>
      <c r="H1249" s="301"/>
      <c r="I1249" s="301"/>
      <c r="J1249" s="301"/>
      <c r="K1249" s="301"/>
      <c r="L1249" s="299"/>
      <c r="M1249" s="299"/>
      <c r="N1249" s="299"/>
      <c r="O1249" s="299"/>
      <c r="P1249" s="299"/>
      <c r="Q1249" s="299"/>
      <c r="R1249" s="299"/>
      <c r="S1249" s="299"/>
      <c r="T1249" s="59"/>
      <c r="U1249" s="59"/>
      <c r="V1249" s="59"/>
      <c r="W1249" s="59"/>
      <c r="X1249" s="59"/>
      <c r="Y1249" s="59"/>
      <c r="Z1249" s="59"/>
      <c r="AA1249" s="59"/>
      <c r="AB1249" s="59"/>
      <c r="AC1249" s="59"/>
    </row>
    <row r="1250" ht="15.75" customHeight="1">
      <c r="A1250" s="298"/>
      <c r="B1250" s="299"/>
      <c r="C1250" s="299"/>
      <c r="D1250" s="299"/>
      <c r="E1250" s="300"/>
      <c r="F1250" s="299"/>
      <c r="G1250" s="299"/>
      <c r="H1250" s="301"/>
      <c r="I1250" s="301"/>
      <c r="J1250" s="301"/>
      <c r="K1250" s="301"/>
      <c r="L1250" s="299"/>
      <c r="M1250" s="299"/>
      <c r="N1250" s="299"/>
      <c r="O1250" s="299"/>
      <c r="P1250" s="299"/>
      <c r="Q1250" s="299"/>
      <c r="R1250" s="299"/>
      <c r="S1250" s="299"/>
      <c r="T1250" s="59"/>
      <c r="U1250" s="59"/>
      <c r="V1250" s="59"/>
      <c r="W1250" s="59"/>
      <c r="X1250" s="59"/>
      <c r="Y1250" s="59"/>
      <c r="Z1250" s="59"/>
      <c r="AA1250" s="59"/>
      <c r="AB1250" s="59"/>
      <c r="AC1250" s="59"/>
    </row>
    <row r="1251" ht="15.75" customHeight="1">
      <c r="A1251" s="298"/>
      <c r="B1251" s="299"/>
      <c r="C1251" s="299"/>
      <c r="D1251" s="299"/>
      <c r="E1251" s="300"/>
      <c r="F1251" s="299"/>
      <c r="G1251" s="299"/>
      <c r="H1251" s="301"/>
      <c r="I1251" s="301"/>
      <c r="J1251" s="301"/>
      <c r="K1251" s="301"/>
      <c r="L1251" s="299"/>
      <c r="M1251" s="299"/>
      <c r="N1251" s="299"/>
      <c r="O1251" s="299"/>
      <c r="P1251" s="299"/>
      <c r="Q1251" s="299"/>
      <c r="R1251" s="299"/>
      <c r="S1251" s="299"/>
      <c r="T1251" s="59"/>
      <c r="U1251" s="59"/>
      <c r="V1251" s="59"/>
      <c r="W1251" s="59"/>
      <c r="X1251" s="59"/>
      <c r="Y1251" s="59"/>
      <c r="Z1251" s="59"/>
      <c r="AA1251" s="59"/>
      <c r="AB1251" s="59"/>
      <c r="AC1251" s="59"/>
    </row>
    <row r="1252" ht="15.75" customHeight="1">
      <c r="A1252" s="298"/>
      <c r="B1252" s="299"/>
      <c r="C1252" s="299"/>
      <c r="D1252" s="299"/>
      <c r="E1252" s="300"/>
      <c r="F1252" s="299"/>
      <c r="G1252" s="299"/>
      <c r="H1252" s="301"/>
      <c r="I1252" s="301"/>
      <c r="J1252" s="301"/>
      <c r="K1252" s="301"/>
      <c r="L1252" s="299"/>
      <c r="M1252" s="299"/>
      <c r="N1252" s="299"/>
      <c r="O1252" s="299"/>
      <c r="P1252" s="299"/>
      <c r="Q1252" s="299"/>
      <c r="R1252" s="299"/>
      <c r="S1252" s="299"/>
      <c r="T1252" s="59"/>
      <c r="U1252" s="59"/>
      <c r="V1252" s="59"/>
      <c r="W1252" s="59"/>
      <c r="X1252" s="59"/>
      <c r="Y1252" s="59"/>
      <c r="Z1252" s="59"/>
      <c r="AA1252" s="59"/>
      <c r="AB1252" s="59"/>
      <c r="AC1252" s="59"/>
    </row>
    <row r="1253" ht="15.75" customHeight="1">
      <c r="A1253" s="298"/>
      <c r="B1253" s="299"/>
      <c r="C1253" s="299"/>
      <c r="D1253" s="299"/>
      <c r="E1253" s="300"/>
      <c r="F1253" s="299"/>
      <c r="G1253" s="299"/>
      <c r="H1253" s="301"/>
      <c r="I1253" s="301"/>
      <c r="J1253" s="301"/>
      <c r="K1253" s="301"/>
      <c r="L1253" s="299"/>
      <c r="M1253" s="299"/>
      <c r="N1253" s="299"/>
      <c r="O1253" s="299"/>
      <c r="P1253" s="299"/>
      <c r="Q1253" s="299"/>
      <c r="R1253" s="299"/>
      <c r="S1253" s="299"/>
      <c r="T1253" s="59"/>
      <c r="U1253" s="59"/>
      <c r="V1253" s="59"/>
      <c r="W1253" s="59"/>
      <c r="X1253" s="59"/>
      <c r="Y1253" s="59"/>
      <c r="Z1253" s="59"/>
      <c r="AA1253" s="59"/>
      <c r="AB1253" s="59"/>
      <c r="AC1253" s="59"/>
    </row>
    <row r="1254" ht="15.75" customHeight="1">
      <c r="A1254" s="298"/>
      <c r="B1254" s="299"/>
      <c r="C1254" s="299"/>
      <c r="D1254" s="299"/>
      <c r="E1254" s="300"/>
      <c r="F1254" s="299"/>
      <c r="G1254" s="299"/>
      <c r="H1254" s="301"/>
      <c r="I1254" s="301"/>
      <c r="J1254" s="301"/>
      <c r="K1254" s="301"/>
      <c r="L1254" s="299"/>
      <c r="M1254" s="299"/>
      <c r="N1254" s="299"/>
      <c r="O1254" s="299"/>
      <c r="P1254" s="299"/>
      <c r="Q1254" s="299"/>
      <c r="R1254" s="299"/>
      <c r="S1254" s="299"/>
      <c r="T1254" s="59"/>
      <c r="U1254" s="59"/>
      <c r="V1254" s="59"/>
      <c r="W1254" s="59"/>
      <c r="X1254" s="59"/>
      <c r="Y1254" s="59"/>
      <c r="Z1254" s="59"/>
      <c r="AA1254" s="59"/>
      <c r="AB1254" s="59"/>
      <c r="AC1254" s="59"/>
    </row>
    <row r="1255" ht="15.75" customHeight="1">
      <c r="A1255" s="298"/>
      <c r="B1255" s="299"/>
      <c r="C1255" s="299"/>
      <c r="D1255" s="299"/>
      <c r="E1255" s="300"/>
      <c r="F1255" s="299"/>
      <c r="G1255" s="299"/>
      <c r="H1255" s="301"/>
      <c r="I1255" s="301"/>
      <c r="J1255" s="301"/>
      <c r="K1255" s="301"/>
      <c r="L1255" s="299"/>
      <c r="M1255" s="299"/>
      <c r="N1255" s="299"/>
      <c r="O1255" s="299"/>
      <c r="P1255" s="299"/>
      <c r="Q1255" s="299"/>
      <c r="R1255" s="299"/>
      <c r="S1255" s="299"/>
      <c r="T1255" s="59"/>
      <c r="U1255" s="59"/>
      <c r="V1255" s="59"/>
      <c r="W1255" s="59"/>
      <c r="X1255" s="59"/>
      <c r="Y1255" s="59"/>
      <c r="Z1255" s="59"/>
      <c r="AA1255" s="59"/>
      <c r="AB1255" s="59"/>
      <c r="AC1255" s="59"/>
    </row>
    <row r="1256" ht="15.75" customHeight="1">
      <c r="A1256" s="298"/>
      <c r="B1256" s="299"/>
      <c r="C1256" s="299"/>
      <c r="D1256" s="299"/>
      <c r="E1256" s="300"/>
      <c r="F1256" s="299"/>
      <c r="G1256" s="299"/>
      <c r="H1256" s="301"/>
      <c r="I1256" s="301"/>
      <c r="J1256" s="301"/>
      <c r="K1256" s="301"/>
      <c r="L1256" s="299"/>
      <c r="M1256" s="299"/>
      <c r="N1256" s="299"/>
      <c r="O1256" s="299"/>
      <c r="P1256" s="299"/>
      <c r="Q1256" s="299"/>
      <c r="R1256" s="299"/>
      <c r="S1256" s="299"/>
      <c r="T1256" s="59"/>
      <c r="U1256" s="59"/>
      <c r="V1256" s="59"/>
      <c r="W1256" s="59"/>
      <c r="X1256" s="59"/>
      <c r="Y1256" s="59"/>
      <c r="Z1256" s="59"/>
      <c r="AA1256" s="59"/>
      <c r="AB1256" s="59"/>
      <c r="AC1256" s="59"/>
    </row>
    <row r="1257" ht="15.75" customHeight="1">
      <c r="A1257" s="298"/>
      <c r="B1257" s="299"/>
      <c r="C1257" s="299"/>
      <c r="D1257" s="299"/>
      <c r="E1257" s="300"/>
      <c r="F1257" s="299"/>
      <c r="G1257" s="299"/>
      <c r="H1257" s="301"/>
      <c r="I1257" s="301"/>
      <c r="J1257" s="301"/>
      <c r="K1257" s="301"/>
      <c r="L1257" s="299"/>
      <c r="M1257" s="299"/>
      <c r="N1257" s="299"/>
      <c r="O1257" s="299"/>
      <c r="P1257" s="299"/>
      <c r="Q1257" s="299"/>
      <c r="R1257" s="299"/>
      <c r="S1257" s="299"/>
      <c r="T1257" s="59"/>
      <c r="U1257" s="59"/>
      <c r="V1257" s="59"/>
      <c r="W1257" s="59"/>
      <c r="X1257" s="59"/>
      <c r="Y1257" s="59"/>
      <c r="Z1257" s="59"/>
      <c r="AA1257" s="59"/>
      <c r="AB1257" s="59"/>
      <c r="AC1257" s="59"/>
    </row>
    <row r="1258" ht="15.75" customHeight="1">
      <c r="A1258" s="298"/>
      <c r="B1258" s="299"/>
      <c r="C1258" s="299"/>
      <c r="D1258" s="299"/>
      <c r="E1258" s="300"/>
      <c r="F1258" s="299"/>
      <c r="G1258" s="299"/>
      <c r="H1258" s="301"/>
      <c r="I1258" s="301"/>
      <c r="J1258" s="301"/>
      <c r="K1258" s="301"/>
      <c r="L1258" s="299"/>
      <c r="M1258" s="299"/>
      <c r="N1258" s="299"/>
      <c r="O1258" s="299"/>
      <c r="P1258" s="299"/>
      <c r="Q1258" s="299"/>
      <c r="R1258" s="299"/>
      <c r="S1258" s="299"/>
      <c r="T1258" s="59"/>
      <c r="U1258" s="59"/>
      <c r="V1258" s="59"/>
      <c r="W1258" s="59"/>
      <c r="X1258" s="59"/>
      <c r="Y1258" s="59"/>
      <c r="Z1258" s="59"/>
      <c r="AA1258" s="59"/>
      <c r="AB1258" s="59"/>
      <c r="AC1258" s="59"/>
    </row>
    <row r="1259" ht="15.75" customHeight="1">
      <c r="A1259" s="298"/>
      <c r="B1259" s="299"/>
      <c r="C1259" s="299"/>
      <c r="D1259" s="299"/>
      <c r="E1259" s="300"/>
      <c r="F1259" s="299"/>
      <c r="G1259" s="299"/>
      <c r="H1259" s="301"/>
      <c r="I1259" s="301"/>
      <c r="J1259" s="301"/>
      <c r="K1259" s="301"/>
      <c r="L1259" s="299"/>
      <c r="M1259" s="299"/>
      <c r="N1259" s="299"/>
      <c r="O1259" s="299"/>
      <c r="P1259" s="299"/>
      <c r="Q1259" s="299"/>
      <c r="R1259" s="299"/>
      <c r="S1259" s="299"/>
      <c r="T1259" s="59"/>
      <c r="U1259" s="59"/>
      <c r="V1259" s="59"/>
      <c r="W1259" s="59"/>
      <c r="X1259" s="59"/>
      <c r="Y1259" s="59"/>
      <c r="Z1259" s="59"/>
      <c r="AA1259" s="59"/>
      <c r="AB1259" s="59"/>
      <c r="AC1259" s="59"/>
    </row>
    <row r="1260" ht="15.75" customHeight="1">
      <c r="A1260" s="298"/>
      <c r="B1260" s="299"/>
      <c r="C1260" s="299"/>
      <c r="D1260" s="299"/>
      <c r="E1260" s="300"/>
      <c r="F1260" s="299"/>
      <c r="G1260" s="299"/>
      <c r="H1260" s="301"/>
      <c r="I1260" s="301"/>
      <c r="J1260" s="301"/>
      <c r="K1260" s="301"/>
      <c r="L1260" s="299"/>
      <c r="M1260" s="299"/>
      <c r="N1260" s="299"/>
      <c r="O1260" s="299"/>
      <c r="P1260" s="299"/>
      <c r="Q1260" s="299"/>
      <c r="R1260" s="299"/>
      <c r="S1260" s="299"/>
      <c r="T1260" s="59"/>
      <c r="U1260" s="59"/>
      <c r="V1260" s="59"/>
      <c r="W1260" s="59"/>
      <c r="X1260" s="59"/>
      <c r="Y1260" s="59"/>
      <c r="Z1260" s="59"/>
      <c r="AA1260" s="59"/>
      <c r="AB1260" s="59"/>
      <c r="AC1260" s="59"/>
    </row>
    <row r="1261" ht="15.75" customHeight="1">
      <c r="A1261" s="298"/>
      <c r="B1261" s="299"/>
      <c r="C1261" s="299"/>
      <c r="D1261" s="299"/>
      <c r="E1261" s="300"/>
      <c r="F1261" s="299"/>
      <c r="G1261" s="299"/>
      <c r="H1261" s="301"/>
      <c r="I1261" s="301"/>
      <c r="J1261" s="301"/>
      <c r="K1261" s="301"/>
      <c r="L1261" s="299"/>
      <c r="M1261" s="299"/>
      <c r="N1261" s="299"/>
      <c r="O1261" s="299"/>
      <c r="P1261" s="299"/>
      <c r="Q1261" s="299"/>
      <c r="R1261" s="299"/>
      <c r="S1261" s="299"/>
      <c r="T1261" s="59"/>
      <c r="U1261" s="59"/>
      <c r="V1261" s="59"/>
      <c r="W1261" s="59"/>
      <c r="X1261" s="59"/>
      <c r="Y1261" s="59"/>
      <c r="Z1261" s="59"/>
      <c r="AA1261" s="59"/>
      <c r="AB1261" s="59"/>
      <c r="AC1261" s="59"/>
    </row>
    <row r="1262" ht="15.75" customHeight="1">
      <c r="A1262" s="298"/>
      <c r="B1262" s="299"/>
      <c r="C1262" s="299"/>
      <c r="D1262" s="299"/>
      <c r="E1262" s="300"/>
      <c r="F1262" s="299"/>
      <c r="G1262" s="299"/>
      <c r="H1262" s="301"/>
      <c r="I1262" s="301"/>
      <c r="J1262" s="301"/>
      <c r="K1262" s="301"/>
      <c r="L1262" s="299"/>
      <c r="M1262" s="299"/>
      <c r="N1262" s="299"/>
      <c r="O1262" s="299"/>
      <c r="P1262" s="299"/>
      <c r="Q1262" s="299"/>
      <c r="R1262" s="299"/>
      <c r="S1262" s="299"/>
      <c r="T1262" s="59"/>
      <c r="U1262" s="59"/>
      <c r="V1262" s="59"/>
      <c r="W1262" s="59"/>
      <c r="X1262" s="59"/>
      <c r="Y1262" s="59"/>
      <c r="Z1262" s="59"/>
      <c r="AA1262" s="59"/>
      <c r="AB1262" s="59"/>
      <c r="AC1262" s="59"/>
    </row>
    <row r="1263" ht="15.75" customHeight="1">
      <c r="A1263" s="298"/>
      <c r="B1263" s="299"/>
      <c r="C1263" s="299"/>
      <c r="D1263" s="299"/>
      <c r="E1263" s="300"/>
      <c r="F1263" s="299"/>
      <c r="G1263" s="299"/>
      <c r="H1263" s="301"/>
      <c r="I1263" s="301"/>
      <c r="J1263" s="301"/>
      <c r="K1263" s="301"/>
      <c r="L1263" s="299"/>
      <c r="M1263" s="299"/>
      <c r="N1263" s="299"/>
      <c r="O1263" s="299"/>
      <c r="P1263" s="299"/>
      <c r="Q1263" s="299"/>
      <c r="R1263" s="299"/>
      <c r="S1263" s="299"/>
      <c r="T1263" s="59"/>
      <c r="U1263" s="59"/>
      <c r="V1263" s="59"/>
      <c r="W1263" s="59"/>
      <c r="X1263" s="59"/>
      <c r="Y1263" s="59"/>
      <c r="Z1263" s="59"/>
      <c r="AA1263" s="59"/>
      <c r="AB1263" s="59"/>
      <c r="AC1263" s="59"/>
    </row>
    <row r="1264" ht="15.75" customHeight="1">
      <c r="A1264" s="298"/>
      <c r="B1264" s="299"/>
      <c r="C1264" s="299"/>
      <c r="D1264" s="299"/>
      <c r="E1264" s="300"/>
      <c r="F1264" s="299"/>
      <c r="G1264" s="299"/>
      <c r="H1264" s="301"/>
      <c r="I1264" s="301"/>
      <c r="J1264" s="301"/>
      <c r="K1264" s="301"/>
      <c r="L1264" s="299"/>
      <c r="M1264" s="299"/>
      <c r="N1264" s="299"/>
      <c r="O1264" s="299"/>
      <c r="P1264" s="299"/>
      <c r="Q1264" s="299"/>
      <c r="R1264" s="299"/>
      <c r="S1264" s="299"/>
      <c r="T1264" s="59"/>
      <c r="U1264" s="59"/>
      <c r="V1264" s="59"/>
      <c r="W1264" s="59"/>
      <c r="X1264" s="59"/>
      <c r="Y1264" s="59"/>
      <c r="Z1264" s="59"/>
      <c r="AA1264" s="59"/>
      <c r="AB1264" s="59"/>
      <c r="AC1264" s="59"/>
    </row>
    <row r="1265" ht="15.75" customHeight="1">
      <c r="A1265" s="298"/>
      <c r="B1265" s="299"/>
      <c r="C1265" s="299"/>
      <c r="D1265" s="299"/>
      <c r="E1265" s="300"/>
      <c r="F1265" s="299"/>
      <c r="G1265" s="299"/>
      <c r="H1265" s="301"/>
      <c r="I1265" s="301"/>
      <c r="J1265" s="301"/>
      <c r="K1265" s="301"/>
      <c r="L1265" s="299"/>
      <c r="M1265" s="299"/>
      <c r="N1265" s="299"/>
      <c r="O1265" s="299"/>
      <c r="P1265" s="299"/>
      <c r="Q1265" s="299"/>
      <c r="R1265" s="299"/>
      <c r="S1265" s="299"/>
      <c r="T1265" s="59"/>
      <c r="U1265" s="59"/>
      <c r="V1265" s="59"/>
      <c r="W1265" s="59"/>
      <c r="X1265" s="59"/>
      <c r="Y1265" s="59"/>
      <c r="Z1265" s="59"/>
      <c r="AA1265" s="59"/>
      <c r="AB1265" s="59"/>
      <c r="AC1265" s="59"/>
    </row>
    <row r="1266" ht="15.75" customHeight="1">
      <c r="A1266" s="298"/>
      <c r="B1266" s="299"/>
      <c r="C1266" s="299"/>
      <c r="D1266" s="299"/>
      <c r="E1266" s="300"/>
      <c r="F1266" s="299"/>
      <c r="G1266" s="299"/>
      <c r="H1266" s="301"/>
      <c r="I1266" s="301"/>
      <c r="J1266" s="301"/>
      <c r="K1266" s="301"/>
      <c r="L1266" s="299"/>
      <c r="M1266" s="299"/>
      <c r="N1266" s="299"/>
      <c r="O1266" s="299"/>
      <c r="P1266" s="299"/>
      <c r="Q1266" s="299"/>
      <c r="R1266" s="299"/>
      <c r="S1266" s="299"/>
      <c r="T1266" s="59"/>
      <c r="U1266" s="59"/>
      <c r="V1266" s="59"/>
      <c r="W1266" s="59"/>
      <c r="X1266" s="59"/>
      <c r="Y1266" s="59"/>
      <c r="Z1266" s="59"/>
      <c r="AA1266" s="59"/>
      <c r="AB1266" s="59"/>
      <c r="AC1266" s="59"/>
    </row>
    <row r="1267" ht="15.75" customHeight="1">
      <c r="A1267" s="298"/>
      <c r="B1267" s="299"/>
      <c r="C1267" s="299"/>
      <c r="D1267" s="299"/>
      <c r="E1267" s="300"/>
      <c r="F1267" s="299"/>
      <c r="G1267" s="299"/>
      <c r="H1267" s="301"/>
      <c r="I1267" s="301"/>
      <c r="J1267" s="301"/>
      <c r="K1267" s="301"/>
      <c r="L1267" s="299"/>
      <c r="M1267" s="299"/>
      <c r="N1267" s="299"/>
      <c r="O1267" s="299"/>
      <c r="P1267" s="299"/>
      <c r="Q1267" s="299"/>
      <c r="R1267" s="299"/>
      <c r="S1267" s="299"/>
      <c r="T1267" s="59"/>
      <c r="U1267" s="59"/>
      <c r="V1267" s="59"/>
      <c r="W1267" s="59"/>
      <c r="X1267" s="59"/>
      <c r="Y1267" s="59"/>
      <c r="Z1267" s="59"/>
      <c r="AA1267" s="59"/>
      <c r="AB1267" s="59"/>
      <c r="AC1267" s="59"/>
    </row>
    <row r="1268" ht="15.75" customHeight="1">
      <c r="A1268" s="298"/>
      <c r="B1268" s="299"/>
      <c r="C1268" s="299"/>
      <c r="D1268" s="299"/>
      <c r="E1268" s="300"/>
      <c r="F1268" s="299"/>
      <c r="G1268" s="299"/>
      <c r="H1268" s="301"/>
      <c r="I1268" s="301"/>
      <c r="J1268" s="301"/>
      <c r="K1268" s="301"/>
      <c r="L1268" s="299"/>
      <c r="M1268" s="299"/>
      <c r="N1268" s="299"/>
      <c r="O1268" s="299"/>
      <c r="P1268" s="299"/>
      <c r="Q1268" s="299"/>
      <c r="R1268" s="299"/>
      <c r="S1268" s="299"/>
      <c r="T1268" s="59"/>
      <c r="U1268" s="59"/>
      <c r="V1268" s="59"/>
      <c r="W1268" s="59"/>
      <c r="X1268" s="59"/>
      <c r="Y1268" s="59"/>
      <c r="Z1268" s="59"/>
      <c r="AA1268" s="59"/>
      <c r="AB1268" s="59"/>
      <c r="AC1268" s="59"/>
    </row>
    <row r="1269" ht="15.75" customHeight="1">
      <c r="A1269" s="298"/>
      <c r="B1269" s="299"/>
      <c r="C1269" s="299"/>
      <c r="D1269" s="299"/>
      <c r="E1269" s="300"/>
      <c r="F1269" s="299"/>
      <c r="G1269" s="299"/>
      <c r="H1269" s="301"/>
      <c r="I1269" s="301"/>
      <c r="J1269" s="301"/>
      <c r="K1269" s="301"/>
      <c r="L1269" s="299"/>
      <c r="M1269" s="299"/>
      <c r="N1269" s="299"/>
      <c r="O1269" s="299"/>
      <c r="P1269" s="299"/>
      <c r="Q1269" s="299"/>
      <c r="R1269" s="299"/>
      <c r="S1269" s="299"/>
      <c r="T1269" s="59"/>
      <c r="U1269" s="59"/>
      <c r="V1269" s="59"/>
      <c r="W1269" s="59"/>
      <c r="X1269" s="59"/>
      <c r="Y1269" s="59"/>
      <c r="Z1269" s="59"/>
      <c r="AA1269" s="59"/>
      <c r="AB1269" s="59"/>
      <c r="AC1269" s="59"/>
    </row>
    <row r="1270" ht="15.75" customHeight="1">
      <c r="A1270" s="298"/>
      <c r="B1270" s="299"/>
      <c r="C1270" s="299"/>
      <c r="D1270" s="299"/>
      <c r="E1270" s="300"/>
      <c r="F1270" s="299"/>
      <c r="G1270" s="299"/>
      <c r="H1270" s="301"/>
      <c r="I1270" s="301"/>
      <c r="J1270" s="301"/>
      <c r="K1270" s="301"/>
      <c r="L1270" s="299"/>
      <c r="M1270" s="299"/>
      <c r="N1270" s="299"/>
      <c r="O1270" s="299"/>
      <c r="P1270" s="299"/>
      <c r="Q1270" s="299"/>
      <c r="R1270" s="299"/>
      <c r="S1270" s="299"/>
      <c r="T1270" s="59"/>
      <c r="U1270" s="59"/>
      <c r="V1270" s="59"/>
      <c r="W1270" s="59"/>
      <c r="X1270" s="59"/>
      <c r="Y1270" s="59"/>
      <c r="Z1270" s="59"/>
      <c r="AA1270" s="59"/>
      <c r="AB1270" s="59"/>
      <c r="AC1270" s="59"/>
    </row>
    <row r="1271" ht="15.75" customHeight="1">
      <c r="A1271" s="298"/>
      <c r="B1271" s="299"/>
      <c r="C1271" s="299"/>
      <c r="D1271" s="299"/>
      <c r="E1271" s="300"/>
      <c r="F1271" s="299"/>
      <c r="G1271" s="299"/>
      <c r="H1271" s="301"/>
      <c r="I1271" s="301"/>
      <c r="J1271" s="301"/>
      <c r="K1271" s="301"/>
      <c r="L1271" s="299"/>
      <c r="M1271" s="299"/>
      <c r="N1271" s="299"/>
      <c r="O1271" s="299"/>
      <c r="P1271" s="299"/>
      <c r="Q1271" s="299"/>
      <c r="R1271" s="299"/>
      <c r="S1271" s="299"/>
      <c r="T1271" s="59"/>
      <c r="U1271" s="59"/>
      <c r="V1271" s="59"/>
      <c r="W1271" s="59"/>
      <c r="X1271" s="59"/>
      <c r="Y1271" s="59"/>
      <c r="Z1271" s="59"/>
      <c r="AA1271" s="59"/>
      <c r="AB1271" s="59"/>
      <c r="AC1271" s="59"/>
    </row>
    <row r="1272" ht="15.75" customHeight="1">
      <c r="A1272" s="298"/>
      <c r="B1272" s="299"/>
      <c r="C1272" s="299"/>
      <c r="D1272" s="299"/>
      <c r="E1272" s="300"/>
      <c r="F1272" s="299"/>
      <c r="G1272" s="299"/>
      <c r="H1272" s="301"/>
      <c r="I1272" s="301"/>
      <c r="J1272" s="301"/>
      <c r="K1272" s="301"/>
      <c r="L1272" s="299"/>
      <c r="M1272" s="299"/>
      <c r="N1272" s="299"/>
      <c r="O1272" s="299"/>
      <c r="P1272" s="299"/>
      <c r="Q1272" s="299"/>
      <c r="R1272" s="299"/>
      <c r="S1272" s="299"/>
      <c r="T1272" s="59"/>
      <c r="U1272" s="59"/>
      <c r="V1272" s="59"/>
      <c r="W1272" s="59"/>
      <c r="X1272" s="59"/>
      <c r="Y1272" s="59"/>
      <c r="Z1272" s="59"/>
      <c r="AA1272" s="59"/>
      <c r="AB1272" s="59"/>
      <c r="AC1272" s="59"/>
    </row>
    <row r="1273" ht="15.75" customHeight="1">
      <c r="A1273" s="298"/>
      <c r="B1273" s="299"/>
      <c r="C1273" s="299"/>
      <c r="D1273" s="299"/>
      <c r="E1273" s="300"/>
      <c r="F1273" s="299"/>
      <c r="G1273" s="299"/>
      <c r="H1273" s="301"/>
      <c r="I1273" s="301"/>
      <c r="J1273" s="301"/>
      <c r="K1273" s="301"/>
      <c r="L1273" s="299"/>
      <c r="M1273" s="299"/>
      <c r="N1273" s="299"/>
      <c r="O1273" s="299"/>
      <c r="P1273" s="299"/>
      <c r="Q1273" s="299"/>
      <c r="R1273" s="299"/>
      <c r="S1273" s="299"/>
      <c r="T1273" s="59"/>
      <c r="U1273" s="59"/>
      <c r="V1273" s="59"/>
      <c r="W1273" s="59"/>
      <c r="X1273" s="59"/>
      <c r="Y1273" s="59"/>
      <c r="Z1273" s="59"/>
      <c r="AA1273" s="59"/>
      <c r="AB1273" s="59"/>
      <c r="AC1273" s="59"/>
    </row>
    <row r="1274" ht="15.75" customHeight="1">
      <c r="A1274" s="298"/>
      <c r="B1274" s="299"/>
      <c r="C1274" s="299"/>
      <c r="D1274" s="299"/>
      <c r="E1274" s="300"/>
      <c r="F1274" s="299"/>
      <c r="G1274" s="299"/>
      <c r="H1274" s="301"/>
      <c r="I1274" s="301"/>
      <c r="J1274" s="301"/>
      <c r="K1274" s="301"/>
      <c r="L1274" s="299"/>
      <c r="M1274" s="299"/>
      <c r="N1274" s="299"/>
      <c r="O1274" s="299"/>
      <c r="P1274" s="299"/>
      <c r="Q1274" s="299"/>
      <c r="R1274" s="299"/>
      <c r="S1274" s="299"/>
      <c r="T1274" s="59"/>
      <c r="U1274" s="59"/>
      <c r="V1274" s="59"/>
      <c r="W1274" s="59"/>
      <c r="X1274" s="59"/>
      <c r="Y1274" s="59"/>
      <c r="Z1274" s="59"/>
      <c r="AA1274" s="59"/>
      <c r="AB1274" s="59"/>
      <c r="AC1274" s="59"/>
    </row>
    <row r="1275" ht="15.75" customHeight="1">
      <c r="A1275" s="298"/>
      <c r="B1275" s="299"/>
      <c r="C1275" s="299"/>
      <c r="D1275" s="299"/>
      <c r="E1275" s="300"/>
      <c r="F1275" s="299"/>
      <c r="G1275" s="299"/>
      <c r="H1275" s="301"/>
      <c r="I1275" s="301"/>
      <c r="J1275" s="301"/>
      <c r="K1275" s="301"/>
      <c r="L1275" s="299"/>
      <c r="M1275" s="299"/>
      <c r="N1275" s="299"/>
      <c r="O1275" s="299"/>
      <c r="P1275" s="299"/>
      <c r="Q1275" s="299"/>
      <c r="R1275" s="299"/>
      <c r="S1275" s="299"/>
      <c r="T1275" s="59"/>
      <c r="U1275" s="59"/>
      <c r="V1275" s="59"/>
      <c r="W1275" s="59"/>
      <c r="X1275" s="59"/>
      <c r="Y1275" s="59"/>
      <c r="Z1275" s="59"/>
      <c r="AA1275" s="59"/>
      <c r="AB1275" s="59"/>
      <c r="AC1275" s="59"/>
    </row>
    <row r="1276" ht="15.75" customHeight="1">
      <c r="A1276" s="298"/>
      <c r="B1276" s="299"/>
      <c r="C1276" s="299"/>
      <c r="D1276" s="299"/>
      <c r="E1276" s="300"/>
      <c r="F1276" s="299"/>
      <c r="G1276" s="299"/>
      <c r="H1276" s="301"/>
      <c r="I1276" s="301"/>
      <c r="J1276" s="301"/>
      <c r="K1276" s="301"/>
      <c r="L1276" s="299"/>
      <c r="M1276" s="299"/>
      <c r="N1276" s="299"/>
      <c r="O1276" s="299"/>
      <c r="P1276" s="299"/>
      <c r="Q1276" s="299"/>
      <c r="R1276" s="299"/>
      <c r="S1276" s="299"/>
      <c r="T1276" s="59"/>
      <c r="U1276" s="59"/>
      <c r="V1276" s="59"/>
      <c r="W1276" s="59"/>
      <c r="X1276" s="59"/>
      <c r="Y1276" s="59"/>
      <c r="Z1276" s="59"/>
      <c r="AA1276" s="59"/>
      <c r="AB1276" s="59"/>
      <c r="AC1276" s="59"/>
    </row>
    <row r="1277" ht="15.75" customHeight="1">
      <c r="A1277" s="298"/>
      <c r="B1277" s="299"/>
      <c r="C1277" s="299"/>
      <c r="D1277" s="299"/>
      <c r="E1277" s="300"/>
      <c r="F1277" s="299"/>
      <c r="G1277" s="299"/>
      <c r="H1277" s="301"/>
      <c r="I1277" s="301"/>
      <c r="J1277" s="301"/>
      <c r="K1277" s="301"/>
      <c r="L1277" s="299"/>
      <c r="M1277" s="299"/>
      <c r="N1277" s="299"/>
      <c r="O1277" s="299"/>
      <c r="P1277" s="299"/>
      <c r="Q1277" s="299"/>
      <c r="R1277" s="299"/>
      <c r="S1277" s="299"/>
      <c r="T1277" s="59"/>
      <c r="U1277" s="59"/>
      <c r="V1277" s="59"/>
      <c r="W1277" s="59"/>
      <c r="X1277" s="59"/>
      <c r="Y1277" s="59"/>
      <c r="Z1277" s="59"/>
      <c r="AA1277" s="59"/>
      <c r="AB1277" s="59"/>
      <c r="AC1277" s="59"/>
    </row>
    <row r="1278" ht="15.75" customHeight="1">
      <c r="A1278" s="298"/>
      <c r="B1278" s="299"/>
      <c r="C1278" s="299"/>
      <c r="D1278" s="299"/>
      <c r="E1278" s="300"/>
      <c r="F1278" s="299"/>
      <c r="G1278" s="299"/>
      <c r="H1278" s="301"/>
      <c r="I1278" s="301"/>
      <c r="J1278" s="301"/>
      <c r="K1278" s="301"/>
      <c r="L1278" s="299"/>
      <c r="M1278" s="299"/>
      <c r="N1278" s="299"/>
      <c r="O1278" s="299"/>
      <c r="P1278" s="299"/>
      <c r="Q1278" s="299"/>
      <c r="R1278" s="299"/>
      <c r="S1278" s="299"/>
      <c r="T1278" s="59"/>
      <c r="U1278" s="59"/>
      <c r="V1278" s="59"/>
      <c r="W1278" s="59"/>
      <c r="X1278" s="59"/>
      <c r="Y1278" s="59"/>
      <c r="Z1278" s="59"/>
      <c r="AA1278" s="59"/>
      <c r="AB1278" s="59"/>
      <c r="AC1278" s="59"/>
    </row>
    <row r="1279" ht="15.75" customHeight="1">
      <c r="A1279" s="298"/>
      <c r="B1279" s="299"/>
      <c r="C1279" s="299"/>
      <c r="D1279" s="299"/>
      <c r="E1279" s="300"/>
      <c r="F1279" s="299"/>
      <c r="G1279" s="299"/>
      <c r="H1279" s="301"/>
      <c r="I1279" s="301"/>
      <c r="J1279" s="301"/>
      <c r="K1279" s="301"/>
      <c r="L1279" s="299"/>
      <c r="M1279" s="299"/>
      <c r="N1279" s="299"/>
      <c r="O1279" s="299"/>
      <c r="P1279" s="299"/>
      <c r="Q1279" s="299"/>
      <c r="R1279" s="299"/>
      <c r="S1279" s="299"/>
      <c r="T1279" s="59"/>
      <c r="U1279" s="59"/>
      <c r="V1279" s="59"/>
      <c r="W1279" s="59"/>
      <c r="X1279" s="59"/>
      <c r="Y1279" s="59"/>
      <c r="Z1279" s="59"/>
      <c r="AA1279" s="59"/>
      <c r="AB1279" s="59"/>
      <c r="AC1279" s="59"/>
    </row>
    <row r="1280" ht="15.75" customHeight="1">
      <c r="A1280" s="298"/>
      <c r="B1280" s="299"/>
      <c r="C1280" s="299"/>
      <c r="D1280" s="299"/>
      <c r="E1280" s="300"/>
      <c r="F1280" s="299"/>
      <c r="G1280" s="299"/>
      <c r="H1280" s="301"/>
      <c r="I1280" s="301"/>
      <c r="J1280" s="301"/>
      <c r="K1280" s="301"/>
      <c r="L1280" s="299"/>
      <c r="M1280" s="299"/>
      <c r="N1280" s="299"/>
      <c r="O1280" s="299"/>
      <c r="P1280" s="299"/>
      <c r="Q1280" s="299"/>
      <c r="R1280" s="299"/>
      <c r="S1280" s="299"/>
      <c r="T1280" s="59"/>
      <c r="U1280" s="59"/>
      <c r="V1280" s="59"/>
      <c r="W1280" s="59"/>
      <c r="X1280" s="59"/>
      <c r="Y1280" s="59"/>
      <c r="Z1280" s="59"/>
      <c r="AA1280" s="59"/>
      <c r="AB1280" s="59"/>
      <c r="AC1280" s="59"/>
    </row>
    <row r="1281" ht="15.75" customHeight="1">
      <c r="A1281" s="298"/>
      <c r="B1281" s="299"/>
      <c r="C1281" s="299"/>
      <c r="D1281" s="299"/>
      <c r="E1281" s="300"/>
      <c r="F1281" s="299"/>
      <c r="G1281" s="299"/>
      <c r="H1281" s="301"/>
      <c r="I1281" s="301"/>
      <c r="J1281" s="301"/>
      <c r="K1281" s="301"/>
      <c r="L1281" s="299"/>
      <c r="M1281" s="299"/>
      <c r="N1281" s="299"/>
      <c r="O1281" s="299"/>
      <c r="P1281" s="299"/>
      <c r="Q1281" s="299"/>
      <c r="R1281" s="299"/>
      <c r="S1281" s="299"/>
      <c r="T1281" s="59"/>
      <c r="U1281" s="59"/>
      <c r="V1281" s="59"/>
      <c r="W1281" s="59"/>
      <c r="X1281" s="59"/>
      <c r="Y1281" s="59"/>
      <c r="Z1281" s="59"/>
      <c r="AA1281" s="59"/>
      <c r="AB1281" s="59"/>
      <c r="AC1281" s="59"/>
    </row>
    <row r="1282" ht="15.75" customHeight="1">
      <c r="A1282" s="298"/>
      <c r="B1282" s="299"/>
      <c r="C1282" s="299"/>
      <c r="D1282" s="299"/>
      <c r="E1282" s="300"/>
      <c r="F1282" s="299"/>
      <c r="G1282" s="299"/>
      <c r="H1282" s="301"/>
      <c r="I1282" s="301"/>
      <c r="J1282" s="301"/>
      <c r="K1282" s="301"/>
      <c r="L1282" s="299"/>
      <c r="M1282" s="299"/>
      <c r="N1282" s="299"/>
      <c r="O1282" s="299"/>
      <c r="P1282" s="299"/>
      <c r="Q1282" s="299"/>
      <c r="R1282" s="299"/>
      <c r="S1282" s="299"/>
      <c r="T1282" s="59"/>
      <c r="U1282" s="59"/>
      <c r="V1282" s="59"/>
      <c r="W1282" s="59"/>
      <c r="X1282" s="59"/>
      <c r="Y1282" s="59"/>
      <c r="Z1282" s="59"/>
      <c r="AA1282" s="59"/>
      <c r="AB1282" s="59"/>
      <c r="AC1282" s="59"/>
    </row>
    <row r="1283" ht="15.75" customHeight="1">
      <c r="A1283" s="298"/>
      <c r="B1283" s="299"/>
      <c r="C1283" s="299"/>
      <c r="D1283" s="299"/>
      <c r="E1283" s="300"/>
      <c r="F1283" s="299"/>
      <c r="G1283" s="299"/>
      <c r="H1283" s="301"/>
      <c r="I1283" s="301"/>
      <c r="J1283" s="301"/>
      <c r="K1283" s="301"/>
      <c r="L1283" s="299"/>
      <c r="M1283" s="299"/>
      <c r="N1283" s="299"/>
      <c r="O1283" s="299"/>
      <c r="P1283" s="299"/>
      <c r="Q1283" s="299"/>
      <c r="R1283" s="299"/>
      <c r="S1283" s="299"/>
      <c r="T1283" s="59"/>
      <c r="U1283" s="59"/>
      <c r="V1283" s="59"/>
      <c r="W1283" s="59"/>
      <c r="X1283" s="59"/>
      <c r="Y1283" s="59"/>
      <c r="Z1283" s="59"/>
      <c r="AA1283" s="59"/>
      <c r="AB1283" s="59"/>
      <c r="AC1283" s="59"/>
    </row>
    <row r="1284" ht="15.75" customHeight="1">
      <c r="A1284" s="298"/>
      <c r="B1284" s="299"/>
      <c r="C1284" s="299"/>
      <c r="D1284" s="299"/>
      <c r="E1284" s="300"/>
      <c r="F1284" s="299"/>
      <c r="G1284" s="299"/>
      <c r="H1284" s="301"/>
      <c r="I1284" s="301"/>
      <c r="J1284" s="301"/>
      <c r="K1284" s="301"/>
      <c r="L1284" s="299"/>
      <c r="M1284" s="299"/>
      <c r="N1284" s="299"/>
      <c r="O1284" s="299"/>
      <c r="P1284" s="299"/>
      <c r="Q1284" s="299"/>
      <c r="R1284" s="299"/>
      <c r="S1284" s="299"/>
      <c r="T1284" s="59"/>
      <c r="U1284" s="59"/>
      <c r="V1284" s="59"/>
      <c r="W1284" s="59"/>
      <c r="X1284" s="59"/>
      <c r="Y1284" s="59"/>
      <c r="Z1284" s="59"/>
      <c r="AA1284" s="59"/>
      <c r="AB1284" s="59"/>
      <c r="AC1284" s="59"/>
    </row>
    <row r="1285" ht="15.75" customHeight="1">
      <c r="A1285" s="298"/>
      <c r="B1285" s="299"/>
      <c r="C1285" s="299"/>
      <c r="D1285" s="299"/>
      <c r="E1285" s="300"/>
      <c r="F1285" s="299"/>
      <c r="G1285" s="299"/>
      <c r="H1285" s="301"/>
      <c r="I1285" s="301"/>
      <c r="J1285" s="301"/>
      <c r="K1285" s="301"/>
      <c r="L1285" s="299"/>
      <c r="M1285" s="299"/>
      <c r="N1285" s="299"/>
      <c r="O1285" s="299"/>
      <c r="P1285" s="299"/>
      <c r="Q1285" s="299"/>
      <c r="R1285" s="299"/>
      <c r="S1285" s="299"/>
      <c r="T1285" s="59"/>
      <c r="U1285" s="59"/>
      <c r="V1285" s="59"/>
      <c r="W1285" s="59"/>
      <c r="X1285" s="59"/>
      <c r="Y1285" s="59"/>
      <c r="Z1285" s="59"/>
      <c r="AA1285" s="59"/>
      <c r="AB1285" s="59"/>
      <c r="AC1285" s="59"/>
    </row>
    <row r="1286" ht="15.75" customHeight="1">
      <c r="A1286" s="298"/>
      <c r="B1286" s="299"/>
      <c r="C1286" s="299"/>
      <c r="D1286" s="299"/>
      <c r="E1286" s="300"/>
      <c r="F1286" s="299"/>
      <c r="G1286" s="299"/>
      <c r="H1286" s="301"/>
      <c r="I1286" s="301"/>
      <c r="J1286" s="301"/>
      <c r="K1286" s="301"/>
      <c r="L1286" s="299"/>
      <c r="M1286" s="299"/>
      <c r="N1286" s="299"/>
      <c r="O1286" s="299"/>
      <c r="P1286" s="299"/>
      <c r="Q1286" s="299"/>
      <c r="R1286" s="299"/>
      <c r="S1286" s="299"/>
      <c r="T1286" s="59"/>
      <c r="U1286" s="59"/>
      <c r="V1286" s="59"/>
      <c r="W1286" s="59"/>
      <c r="X1286" s="59"/>
      <c r="Y1286" s="59"/>
      <c r="Z1286" s="59"/>
      <c r="AA1286" s="59"/>
      <c r="AB1286" s="59"/>
      <c r="AC1286" s="59"/>
    </row>
    <row r="1287" ht="15.75" customHeight="1">
      <c r="A1287" s="298"/>
      <c r="B1287" s="299"/>
      <c r="C1287" s="299"/>
      <c r="D1287" s="299"/>
      <c r="E1287" s="300"/>
      <c r="F1287" s="299"/>
      <c r="G1287" s="299"/>
      <c r="H1287" s="301"/>
      <c r="I1287" s="301"/>
      <c r="J1287" s="301"/>
      <c r="K1287" s="301"/>
      <c r="L1287" s="299"/>
      <c r="M1287" s="299"/>
      <c r="N1287" s="299"/>
      <c r="O1287" s="299"/>
      <c r="P1287" s="299"/>
      <c r="Q1287" s="299"/>
      <c r="R1287" s="299"/>
      <c r="S1287" s="299"/>
      <c r="T1287" s="59"/>
      <c r="U1287" s="59"/>
      <c r="V1287" s="59"/>
      <c r="W1287" s="59"/>
      <c r="X1287" s="59"/>
      <c r="Y1287" s="59"/>
      <c r="Z1287" s="59"/>
      <c r="AA1287" s="59"/>
      <c r="AB1287" s="59"/>
      <c r="AC1287" s="59"/>
    </row>
    <row r="1288" ht="15.75" customHeight="1">
      <c r="A1288" s="298"/>
      <c r="B1288" s="299"/>
      <c r="C1288" s="299"/>
      <c r="D1288" s="299"/>
      <c r="E1288" s="300"/>
      <c r="F1288" s="299"/>
      <c r="G1288" s="299"/>
      <c r="H1288" s="301"/>
      <c r="I1288" s="301"/>
      <c r="J1288" s="301"/>
      <c r="K1288" s="301"/>
      <c r="L1288" s="299"/>
      <c r="M1288" s="299"/>
      <c r="N1288" s="299"/>
      <c r="O1288" s="299"/>
      <c r="P1288" s="299"/>
      <c r="Q1288" s="299"/>
      <c r="R1288" s="299"/>
      <c r="S1288" s="299"/>
      <c r="T1288" s="59"/>
      <c r="U1288" s="59"/>
      <c r="V1288" s="59"/>
      <c r="W1288" s="59"/>
      <c r="X1288" s="59"/>
      <c r="Y1288" s="59"/>
      <c r="Z1288" s="59"/>
      <c r="AA1288" s="59"/>
      <c r="AB1288" s="59"/>
      <c r="AC1288" s="59"/>
    </row>
    <row r="1289" ht="15.75" customHeight="1">
      <c r="A1289" s="298"/>
      <c r="B1289" s="299"/>
      <c r="C1289" s="299"/>
      <c r="D1289" s="299"/>
      <c r="E1289" s="300"/>
      <c r="F1289" s="299"/>
      <c r="G1289" s="299"/>
      <c r="H1289" s="301"/>
      <c r="I1289" s="301"/>
      <c r="J1289" s="301"/>
      <c r="K1289" s="301"/>
      <c r="L1289" s="299"/>
      <c r="M1289" s="299"/>
      <c r="N1289" s="299"/>
      <c r="O1289" s="299"/>
      <c r="P1289" s="299"/>
      <c r="Q1289" s="299"/>
      <c r="R1289" s="299"/>
      <c r="S1289" s="299"/>
      <c r="T1289" s="59"/>
      <c r="U1289" s="59"/>
      <c r="V1289" s="59"/>
      <c r="W1289" s="59"/>
      <c r="X1289" s="59"/>
      <c r="Y1289" s="59"/>
      <c r="Z1289" s="59"/>
      <c r="AA1289" s="59"/>
      <c r="AB1289" s="59"/>
      <c r="AC1289" s="59"/>
    </row>
    <row r="1290" ht="15.75" customHeight="1">
      <c r="A1290" s="298"/>
      <c r="B1290" s="299"/>
      <c r="C1290" s="299"/>
      <c r="D1290" s="299"/>
      <c r="E1290" s="300"/>
      <c r="F1290" s="299"/>
      <c r="G1290" s="299"/>
      <c r="H1290" s="301"/>
      <c r="I1290" s="301"/>
      <c r="J1290" s="301"/>
      <c r="K1290" s="301"/>
      <c r="L1290" s="299"/>
      <c r="M1290" s="299"/>
      <c r="N1290" s="299"/>
      <c r="O1290" s="299"/>
      <c r="P1290" s="299"/>
      <c r="Q1290" s="299"/>
      <c r="R1290" s="299"/>
      <c r="S1290" s="299"/>
      <c r="T1290" s="59"/>
      <c r="U1290" s="59"/>
      <c r="V1290" s="59"/>
      <c r="W1290" s="59"/>
      <c r="X1290" s="59"/>
      <c r="Y1290" s="59"/>
      <c r="Z1290" s="59"/>
      <c r="AA1290" s="59"/>
      <c r="AB1290" s="59"/>
      <c r="AC1290" s="59"/>
    </row>
    <row r="1291" ht="15.75" customHeight="1">
      <c r="A1291" s="298"/>
      <c r="B1291" s="299"/>
      <c r="C1291" s="299"/>
      <c r="D1291" s="299"/>
      <c r="E1291" s="300"/>
      <c r="F1291" s="299"/>
      <c r="G1291" s="299"/>
      <c r="H1291" s="301"/>
      <c r="I1291" s="301"/>
      <c r="J1291" s="301"/>
      <c r="K1291" s="301"/>
      <c r="L1291" s="299"/>
      <c r="M1291" s="299"/>
      <c r="N1291" s="299"/>
      <c r="O1291" s="299"/>
      <c r="P1291" s="299"/>
      <c r="Q1291" s="299"/>
      <c r="R1291" s="299"/>
      <c r="S1291" s="299"/>
      <c r="T1291" s="59"/>
      <c r="U1291" s="59"/>
      <c r="V1291" s="59"/>
      <c r="W1291" s="59"/>
      <c r="X1291" s="59"/>
      <c r="Y1291" s="59"/>
      <c r="Z1291" s="59"/>
      <c r="AA1291" s="59"/>
      <c r="AB1291" s="59"/>
      <c r="AC1291" s="59"/>
    </row>
    <row r="1292" ht="15.75" customHeight="1">
      <c r="A1292" s="298"/>
      <c r="B1292" s="299"/>
      <c r="C1292" s="299"/>
      <c r="D1292" s="299"/>
      <c r="E1292" s="300"/>
      <c r="F1292" s="299"/>
      <c r="G1292" s="299"/>
      <c r="H1292" s="301"/>
      <c r="I1292" s="301"/>
      <c r="J1292" s="301"/>
      <c r="K1292" s="301"/>
      <c r="L1292" s="299"/>
      <c r="M1292" s="299"/>
      <c r="N1292" s="299"/>
      <c r="O1292" s="299"/>
      <c r="P1292" s="299"/>
      <c r="Q1292" s="299"/>
      <c r="R1292" s="299"/>
      <c r="S1292" s="299"/>
      <c r="T1292" s="59"/>
      <c r="U1292" s="59"/>
      <c r="V1292" s="59"/>
      <c r="W1292" s="59"/>
      <c r="X1292" s="59"/>
      <c r="Y1292" s="59"/>
      <c r="Z1292" s="59"/>
      <c r="AA1292" s="59"/>
      <c r="AB1292" s="59"/>
      <c r="AC1292" s="59"/>
    </row>
    <row r="1293" ht="15.75" customHeight="1">
      <c r="A1293" s="298"/>
      <c r="B1293" s="299"/>
      <c r="C1293" s="299"/>
      <c r="D1293" s="299"/>
      <c r="E1293" s="300"/>
      <c r="F1293" s="299"/>
      <c r="G1293" s="299"/>
      <c r="H1293" s="301"/>
      <c r="I1293" s="301"/>
      <c r="J1293" s="301"/>
      <c r="K1293" s="301"/>
      <c r="L1293" s="299"/>
      <c r="M1293" s="299"/>
      <c r="N1293" s="299"/>
      <c r="O1293" s="299"/>
      <c r="P1293" s="299"/>
      <c r="Q1293" s="299"/>
      <c r="R1293" s="299"/>
      <c r="S1293" s="299"/>
      <c r="T1293" s="59"/>
      <c r="U1293" s="59"/>
      <c r="V1293" s="59"/>
      <c r="W1293" s="59"/>
      <c r="X1293" s="59"/>
      <c r="Y1293" s="59"/>
      <c r="Z1293" s="59"/>
      <c r="AA1293" s="59"/>
      <c r="AB1293" s="59"/>
      <c r="AC1293" s="59"/>
    </row>
    <row r="1294" ht="15.75" customHeight="1">
      <c r="A1294" s="298"/>
      <c r="B1294" s="299"/>
      <c r="C1294" s="299"/>
      <c r="D1294" s="299"/>
      <c r="E1294" s="300"/>
      <c r="F1294" s="299"/>
      <c r="G1294" s="299"/>
      <c r="H1294" s="301"/>
      <c r="I1294" s="301"/>
      <c r="J1294" s="301"/>
      <c r="K1294" s="301"/>
      <c r="L1294" s="299"/>
      <c r="M1294" s="299"/>
      <c r="N1294" s="299"/>
      <c r="O1294" s="299"/>
      <c r="P1294" s="299"/>
      <c r="Q1294" s="299"/>
      <c r="R1294" s="299"/>
      <c r="S1294" s="299"/>
      <c r="T1294" s="59"/>
      <c r="U1294" s="59"/>
      <c r="V1294" s="59"/>
      <c r="W1294" s="59"/>
      <c r="X1294" s="59"/>
      <c r="Y1294" s="59"/>
      <c r="Z1294" s="59"/>
      <c r="AA1294" s="59"/>
      <c r="AB1294" s="59"/>
      <c r="AC1294" s="59"/>
    </row>
    <row r="1295" ht="15.75" customHeight="1">
      <c r="A1295" s="298"/>
      <c r="B1295" s="299"/>
      <c r="C1295" s="299"/>
      <c r="D1295" s="299"/>
      <c r="E1295" s="300"/>
      <c r="F1295" s="299"/>
      <c r="G1295" s="299"/>
      <c r="H1295" s="301"/>
      <c r="I1295" s="301"/>
      <c r="J1295" s="301"/>
      <c r="K1295" s="301"/>
      <c r="L1295" s="299"/>
      <c r="M1295" s="299"/>
      <c r="N1295" s="299"/>
      <c r="O1295" s="299"/>
      <c r="P1295" s="299"/>
      <c r="Q1295" s="299"/>
      <c r="R1295" s="299"/>
      <c r="S1295" s="299"/>
      <c r="T1295" s="59"/>
      <c r="U1295" s="59"/>
      <c r="V1295" s="59"/>
      <c r="W1295" s="59"/>
      <c r="X1295" s="59"/>
      <c r="Y1295" s="59"/>
      <c r="Z1295" s="59"/>
      <c r="AA1295" s="59"/>
      <c r="AB1295" s="59"/>
      <c r="AC1295" s="59"/>
    </row>
    <row r="1296" ht="15.75" customHeight="1">
      <c r="A1296" s="298"/>
      <c r="B1296" s="299"/>
      <c r="C1296" s="299"/>
      <c r="D1296" s="299"/>
      <c r="E1296" s="300"/>
      <c r="F1296" s="299"/>
      <c r="G1296" s="299"/>
      <c r="H1296" s="301"/>
      <c r="I1296" s="301"/>
      <c r="J1296" s="301"/>
      <c r="K1296" s="301"/>
      <c r="L1296" s="299"/>
      <c r="M1296" s="299"/>
      <c r="N1296" s="299"/>
      <c r="O1296" s="299"/>
      <c r="P1296" s="299"/>
      <c r="Q1296" s="299"/>
      <c r="R1296" s="299"/>
      <c r="S1296" s="299"/>
      <c r="T1296" s="59"/>
      <c r="U1296" s="59"/>
      <c r="V1296" s="59"/>
      <c r="W1296" s="59"/>
      <c r="X1296" s="59"/>
      <c r="Y1296" s="59"/>
      <c r="Z1296" s="59"/>
      <c r="AA1296" s="59"/>
      <c r="AB1296" s="59"/>
      <c r="AC1296" s="59"/>
    </row>
    <row r="1297" ht="15.75" customHeight="1">
      <c r="A1297" s="298"/>
      <c r="B1297" s="299"/>
      <c r="C1297" s="299"/>
      <c r="D1297" s="299"/>
      <c r="E1297" s="300"/>
      <c r="F1297" s="299"/>
      <c r="G1297" s="299"/>
      <c r="H1297" s="301"/>
      <c r="I1297" s="301"/>
      <c r="J1297" s="301"/>
      <c r="K1297" s="301"/>
      <c r="L1297" s="299"/>
      <c r="M1297" s="299"/>
      <c r="N1297" s="299"/>
      <c r="O1297" s="299"/>
      <c r="P1297" s="299"/>
      <c r="Q1297" s="299"/>
      <c r="R1297" s="299"/>
      <c r="S1297" s="299"/>
      <c r="T1297" s="59"/>
      <c r="U1297" s="59"/>
      <c r="V1297" s="59"/>
      <c r="W1297" s="59"/>
      <c r="X1297" s="59"/>
      <c r="Y1297" s="59"/>
      <c r="Z1297" s="59"/>
      <c r="AA1297" s="59"/>
      <c r="AB1297" s="59"/>
      <c r="AC1297" s="59"/>
    </row>
    <row r="1298" ht="15.75" customHeight="1">
      <c r="A1298" s="298"/>
      <c r="B1298" s="299"/>
      <c r="C1298" s="299"/>
      <c r="D1298" s="299"/>
      <c r="E1298" s="300"/>
      <c r="F1298" s="299"/>
      <c r="G1298" s="299"/>
      <c r="H1298" s="301"/>
      <c r="I1298" s="301"/>
      <c r="J1298" s="301"/>
      <c r="K1298" s="301"/>
      <c r="L1298" s="299"/>
      <c r="M1298" s="299"/>
      <c r="N1298" s="299"/>
      <c r="O1298" s="299"/>
      <c r="P1298" s="299"/>
      <c r="Q1298" s="299"/>
      <c r="R1298" s="299"/>
      <c r="S1298" s="299"/>
      <c r="T1298" s="59"/>
      <c r="U1298" s="59"/>
      <c r="V1298" s="59"/>
      <c r="W1298" s="59"/>
      <c r="X1298" s="59"/>
      <c r="Y1298" s="59"/>
      <c r="Z1298" s="59"/>
      <c r="AA1298" s="59"/>
      <c r="AB1298" s="59"/>
      <c r="AC1298" s="59"/>
    </row>
    <row r="1299" ht="15.75" customHeight="1">
      <c r="A1299" s="298"/>
      <c r="B1299" s="299"/>
      <c r="C1299" s="299"/>
      <c r="D1299" s="299"/>
      <c r="E1299" s="300"/>
      <c r="F1299" s="299"/>
      <c r="G1299" s="299"/>
      <c r="H1299" s="301"/>
      <c r="I1299" s="301"/>
      <c r="J1299" s="301"/>
      <c r="K1299" s="301"/>
      <c r="L1299" s="299"/>
      <c r="M1299" s="299"/>
      <c r="N1299" s="299"/>
      <c r="O1299" s="299"/>
      <c r="P1299" s="299"/>
      <c r="Q1299" s="299"/>
      <c r="R1299" s="299"/>
      <c r="S1299" s="299"/>
      <c r="T1299" s="59"/>
      <c r="U1299" s="59"/>
      <c r="V1299" s="59"/>
      <c r="W1299" s="59"/>
      <c r="X1299" s="59"/>
      <c r="Y1299" s="59"/>
      <c r="Z1299" s="59"/>
      <c r="AA1299" s="59"/>
      <c r="AB1299" s="59"/>
      <c r="AC1299" s="59"/>
    </row>
    <row r="1300" ht="15.75" customHeight="1">
      <c r="A1300" s="298"/>
      <c r="B1300" s="299"/>
      <c r="C1300" s="299"/>
      <c r="D1300" s="299"/>
      <c r="E1300" s="300"/>
      <c r="F1300" s="299"/>
      <c r="G1300" s="299"/>
      <c r="H1300" s="301"/>
      <c r="I1300" s="301"/>
      <c r="J1300" s="301"/>
      <c r="K1300" s="301"/>
      <c r="L1300" s="299"/>
      <c r="M1300" s="299"/>
      <c r="N1300" s="299"/>
      <c r="O1300" s="299"/>
      <c r="P1300" s="299"/>
      <c r="Q1300" s="299"/>
      <c r="R1300" s="299"/>
      <c r="S1300" s="299"/>
      <c r="T1300" s="59"/>
      <c r="U1300" s="59"/>
      <c r="V1300" s="59"/>
      <c r="W1300" s="59"/>
      <c r="X1300" s="59"/>
      <c r="Y1300" s="59"/>
      <c r="Z1300" s="59"/>
      <c r="AA1300" s="59"/>
      <c r="AB1300" s="59"/>
      <c r="AC1300" s="59"/>
    </row>
    <row r="1301" ht="15.75" customHeight="1">
      <c r="A1301" s="298"/>
      <c r="B1301" s="299"/>
      <c r="C1301" s="299"/>
      <c r="D1301" s="299"/>
      <c r="E1301" s="300"/>
      <c r="F1301" s="299"/>
      <c r="G1301" s="299"/>
      <c r="H1301" s="301"/>
      <c r="I1301" s="301"/>
      <c r="J1301" s="301"/>
      <c r="K1301" s="301"/>
      <c r="L1301" s="299"/>
      <c r="M1301" s="299"/>
      <c r="N1301" s="299"/>
      <c r="O1301" s="299"/>
      <c r="P1301" s="299"/>
      <c r="Q1301" s="299"/>
      <c r="R1301" s="299"/>
      <c r="S1301" s="299"/>
      <c r="T1301" s="59"/>
      <c r="U1301" s="59"/>
      <c r="V1301" s="59"/>
      <c r="W1301" s="59"/>
      <c r="X1301" s="59"/>
      <c r="Y1301" s="59"/>
      <c r="Z1301" s="59"/>
      <c r="AA1301" s="59"/>
      <c r="AB1301" s="59"/>
      <c r="AC1301" s="59"/>
    </row>
    <row r="1302" ht="15.75" customHeight="1">
      <c r="A1302" s="298"/>
      <c r="B1302" s="299"/>
      <c r="C1302" s="299"/>
      <c r="D1302" s="299"/>
      <c r="E1302" s="300"/>
      <c r="F1302" s="299"/>
      <c r="G1302" s="299"/>
      <c r="H1302" s="301"/>
      <c r="I1302" s="301"/>
      <c r="J1302" s="301"/>
      <c r="K1302" s="301"/>
      <c r="L1302" s="299"/>
      <c r="M1302" s="299"/>
      <c r="N1302" s="299"/>
      <c r="O1302" s="299"/>
      <c r="P1302" s="299"/>
      <c r="Q1302" s="299"/>
      <c r="R1302" s="299"/>
      <c r="S1302" s="299"/>
      <c r="T1302" s="59"/>
      <c r="U1302" s="59"/>
      <c r="V1302" s="59"/>
      <c r="W1302" s="59"/>
      <c r="X1302" s="59"/>
      <c r="Y1302" s="59"/>
      <c r="Z1302" s="59"/>
      <c r="AA1302" s="59"/>
      <c r="AB1302" s="59"/>
      <c r="AC1302" s="59"/>
    </row>
    <row r="1303" ht="15.75" customHeight="1">
      <c r="A1303" s="298"/>
      <c r="B1303" s="299"/>
      <c r="C1303" s="299"/>
      <c r="D1303" s="299"/>
      <c r="E1303" s="300"/>
      <c r="F1303" s="299"/>
      <c r="G1303" s="299"/>
      <c r="H1303" s="301"/>
      <c r="I1303" s="301"/>
      <c r="J1303" s="301"/>
      <c r="K1303" s="301"/>
      <c r="L1303" s="299"/>
      <c r="M1303" s="299"/>
      <c r="N1303" s="299"/>
      <c r="O1303" s="299"/>
      <c r="P1303" s="299"/>
      <c r="Q1303" s="299"/>
      <c r="R1303" s="299"/>
      <c r="S1303" s="299"/>
      <c r="T1303" s="59"/>
      <c r="U1303" s="59"/>
      <c r="V1303" s="59"/>
      <c r="W1303" s="59"/>
      <c r="X1303" s="59"/>
      <c r="Y1303" s="59"/>
      <c r="Z1303" s="59"/>
      <c r="AA1303" s="59"/>
      <c r="AB1303" s="59"/>
      <c r="AC1303" s="59"/>
    </row>
    <row r="1304" ht="15.75" customHeight="1">
      <c r="A1304" s="298"/>
      <c r="B1304" s="299"/>
      <c r="C1304" s="299"/>
      <c r="D1304" s="299"/>
      <c r="E1304" s="300"/>
      <c r="F1304" s="299"/>
      <c r="G1304" s="299"/>
      <c r="H1304" s="301"/>
      <c r="I1304" s="301"/>
      <c r="J1304" s="301"/>
      <c r="K1304" s="301"/>
      <c r="L1304" s="299"/>
      <c r="M1304" s="299"/>
      <c r="N1304" s="299"/>
      <c r="O1304" s="299"/>
      <c r="P1304" s="299"/>
      <c r="Q1304" s="299"/>
      <c r="R1304" s="299"/>
      <c r="S1304" s="299"/>
      <c r="T1304" s="59"/>
      <c r="U1304" s="59"/>
      <c r="V1304" s="59"/>
      <c r="W1304" s="59"/>
      <c r="X1304" s="59"/>
      <c r="Y1304" s="59"/>
      <c r="Z1304" s="59"/>
      <c r="AA1304" s="59"/>
      <c r="AB1304" s="59"/>
      <c r="AC1304" s="59"/>
    </row>
    <row r="1305" ht="15.75" customHeight="1">
      <c r="A1305" s="298"/>
      <c r="B1305" s="299"/>
      <c r="C1305" s="299"/>
      <c r="D1305" s="299"/>
      <c r="E1305" s="300"/>
      <c r="F1305" s="299"/>
      <c r="G1305" s="299"/>
      <c r="H1305" s="301"/>
      <c r="I1305" s="301"/>
      <c r="J1305" s="301"/>
      <c r="K1305" s="301"/>
      <c r="L1305" s="299"/>
      <c r="M1305" s="299"/>
      <c r="N1305" s="299"/>
      <c r="O1305" s="299"/>
      <c r="P1305" s="299"/>
      <c r="Q1305" s="299"/>
      <c r="R1305" s="299"/>
      <c r="S1305" s="299"/>
      <c r="T1305" s="59"/>
      <c r="U1305" s="59"/>
      <c r="V1305" s="59"/>
      <c r="W1305" s="59"/>
      <c r="X1305" s="59"/>
      <c r="Y1305" s="59"/>
      <c r="Z1305" s="59"/>
      <c r="AA1305" s="59"/>
      <c r="AB1305" s="59"/>
      <c r="AC1305" s="59"/>
    </row>
    <row r="1306" ht="15.75" customHeight="1">
      <c r="A1306" s="298"/>
      <c r="B1306" s="299"/>
      <c r="C1306" s="299"/>
      <c r="D1306" s="299"/>
      <c r="E1306" s="300"/>
      <c r="F1306" s="299"/>
      <c r="G1306" s="299"/>
      <c r="H1306" s="301"/>
      <c r="I1306" s="301"/>
      <c r="J1306" s="301"/>
      <c r="K1306" s="301"/>
      <c r="L1306" s="299"/>
      <c r="M1306" s="299"/>
      <c r="N1306" s="299"/>
      <c r="O1306" s="299"/>
      <c r="P1306" s="299"/>
      <c r="Q1306" s="299"/>
      <c r="R1306" s="299"/>
      <c r="S1306" s="299"/>
      <c r="T1306" s="59"/>
      <c r="U1306" s="59"/>
      <c r="V1306" s="59"/>
      <c r="W1306" s="59"/>
      <c r="X1306" s="59"/>
      <c r="Y1306" s="59"/>
      <c r="Z1306" s="59"/>
      <c r="AA1306" s="59"/>
      <c r="AB1306" s="59"/>
      <c r="AC1306" s="59"/>
    </row>
    <row r="1307" ht="15.75" customHeight="1">
      <c r="A1307" s="298"/>
      <c r="B1307" s="299"/>
      <c r="C1307" s="299"/>
      <c r="D1307" s="299"/>
      <c r="E1307" s="300"/>
      <c r="F1307" s="299"/>
      <c r="G1307" s="299"/>
      <c r="H1307" s="301"/>
      <c r="I1307" s="301"/>
      <c r="J1307" s="301"/>
      <c r="K1307" s="301"/>
      <c r="L1307" s="299"/>
      <c r="M1307" s="299"/>
      <c r="N1307" s="299"/>
      <c r="O1307" s="299"/>
      <c r="P1307" s="299"/>
      <c r="Q1307" s="299"/>
      <c r="R1307" s="299"/>
      <c r="S1307" s="299"/>
      <c r="T1307" s="59"/>
      <c r="U1307" s="59"/>
      <c r="V1307" s="59"/>
      <c r="W1307" s="59"/>
      <c r="X1307" s="59"/>
      <c r="Y1307" s="59"/>
      <c r="Z1307" s="59"/>
      <c r="AA1307" s="59"/>
      <c r="AB1307" s="59"/>
      <c r="AC1307" s="59"/>
    </row>
    <row r="1308" ht="15.75" customHeight="1">
      <c r="A1308" s="298"/>
      <c r="B1308" s="299"/>
      <c r="C1308" s="299"/>
      <c r="D1308" s="299"/>
      <c r="E1308" s="300"/>
      <c r="F1308" s="299"/>
      <c r="G1308" s="299"/>
      <c r="H1308" s="301"/>
      <c r="I1308" s="301"/>
      <c r="J1308" s="301"/>
      <c r="K1308" s="301"/>
      <c r="L1308" s="299"/>
      <c r="M1308" s="299"/>
      <c r="N1308" s="299"/>
      <c r="O1308" s="299"/>
      <c r="P1308" s="299"/>
      <c r="Q1308" s="299"/>
      <c r="R1308" s="299"/>
      <c r="S1308" s="299"/>
      <c r="T1308" s="59"/>
      <c r="U1308" s="59"/>
      <c r="V1308" s="59"/>
      <c r="W1308" s="59"/>
      <c r="X1308" s="59"/>
      <c r="Y1308" s="59"/>
      <c r="Z1308" s="59"/>
      <c r="AA1308" s="59"/>
      <c r="AB1308" s="59"/>
      <c r="AC1308" s="59"/>
    </row>
    <row r="1309" ht="15.75" customHeight="1">
      <c r="A1309" s="298"/>
      <c r="B1309" s="299"/>
      <c r="C1309" s="299"/>
      <c r="D1309" s="299"/>
      <c r="E1309" s="300"/>
      <c r="F1309" s="299"/>
      <c r="G1309" s="299"/>
      <c r="H1309" s="301"/>
      <c r="I1309" s="301"/>
      <c r="J1309" s="301"/>
      <c r="K1309" s="301"/>
      <c r="L1309" s="299"/>
      <c r="M1309" s="299"/>
      <c r="N1309" s="299"/>
      <c r="O1309" s="299"/>
      <c r="P1309" s="299"/>
      <c r="Q1309" s="299"/>
      <c r="R1309" s="299"/>
      <c r="S1309" s="299"/>
      <c r="T1309" s="59"/>
      <c r="U1309" s="59"/>
      <c r="V1309" s="59"/>
      <c r="W1309" s="59"/>
      <c r="X1309" s="59"/>
      <c r="Y1309" s="59"/>
      <c r="Z1309" s="59"/>
      <c r="AA1309" s="59"/>
      <c r="AB1309" s="59"/>
      <c r="AC1309" s="59"/>
    </row>
    <row r="1310" ht="15.75" customHeight="1">
      <c r="A1310" s="298"/>
      <c r="B1310" s="299"/>
      <c r="C1310" s="299"/>
      <c r="D1310" s="299"/>
      <c r="E1310" s="300"/>
      <c r="F1310" s="299"/>
      <c r="G1310" s="299"/>
      <c r="H1310" s="301"/>
      <c r="I1310" s="301"/>
      <c r="J1310" s="301"/>
      <c r="K1310" s="301"/>
      <c r="L1310" s="299"/>
      <c r="M1310" s="299"/>
      <c r="N1310" s="299"/>
      <c r="O1310" s="299"/>
      <c r="P1310" s="299"/>
      <c r="Q1310" s="299"/>
      <c r="R1310" s="299"/>
      <c r="S1310" s="299"/>
      <c r="T1310" s="59"/>
      <c r="U1310" s="59"/>
      <c r="V1310" s="59"/>
      <c r="W1310" s="59"/>
      <c r="X1310" s="59"/>
      <c r="Y1310" s="59"/>
      <c r="Z1310" s="59"/>
      <c r="AA1310" s="59"/>
      <c r="AB1310" s="59"/>
      <c r="AC1310" s="59"/>
    </row>
    <row r="1311" ht="15.75" customHeight="1">
      <c r="A1311" s="298"/>
      <c r="B1311" s="299"/>
      <c r="C1311" s="299"/>
      <c r="D1311" s="299"/>
      <c r="E1311" s="300"/>
      <c r="F1311" s="299"/>
      <c r="G1311" s="299"/>
      <c r="H1311" s="301"/>
      <c r="I1311" s="301"/>
      <c r="J1311" s="301"/>
      <c r="K1311" s="301"/>
      <c r="L1311" s="299"/>
      <c r="M1311" s="299"/>
      <c r="N1311" s="299"/>
      <c r="O1311" s="299"/>
      <c r="P1311" s="299"/>
      <c r="Q1311" s="299"/>
      <c r="R1311" s="299"/>
      <c r="S1311" s="299"/>
      <c r="T1311" s="59"/>
      <c r="U1311" s="59"/>
      <c r="V1311" s="59"/>
      <c r="W1311" s="59"/>
      <c r="X1311" s="59"/>
      <c r="Y1311" s="59"/>
      <c r="Z1311" s="59"/>
      <c r="AA1311" s="59"/>
      <c r="AB1311" s="59"/>
      <c r="AC1311" s="59"/>
    </row>
    <row r="1312" ht="15.75" customHeight="1">
      <c r="A1312" s="298"/>
      <c r="B1312" s="299"/>
      <c r="C1312" s="299"/>
      <c r="D1312" s="299"/>
      <c r="E1312" s="300"/>
      <c r="F1312" s="299"/>
      <c r="G1312" s="299"/>
      <c r="H1312" s="301"/>
      <c r="I1312" s="301"/>
      <c r="J1312" s="301"/>
      <c r="K1312" s="301"/>
      <c r="L1312" s="299"/>
      <c r="M1312" s="299"/>
      <c r="N1312" s="299"/>
      <c r="O1312" s="299"/>
      <c r="P1312" s="299"/>
      <c r="Q1312" s="299"/>
      <c r="R1312" s="299"/>
      <c r="S1312" s="299"/>
      <c r="T1312" s="59"/>
      <c r="U1312" s="59"/>
      <c r="V1312" s="59"/>
      <c r="W1312" s="59"/>
      <c r="X1312" s="59"/>
      <c r="Y1312" s="59"/>
      <c r="Z1312" s="59"/>
      <c r="AA1312" s="59"/>
      <c r="AB1312" s="59"/>
      <c r="AC1312" s="59"/>
    </row>
    <row r="1313" ht="15.75" customHeight="1">
      <c r="A1313" s="298"/>
      <c r="B1313" s="299"/>
      <c r="C1313" s="299"/>
      <c r="D1313" s="299"/>
      <c r="E1313" s="300"/>
      <c r="F1313" s="299"/>
      <c r="G1313" s="299"/>
      <c r="H1313" s="301"/>
      <c r="I1313" s="301"/>
      <c r="J1313" s="301"/>
      <c r="K1313" s="301"/>
      <c r="L1313" s="299"/>
      <c r="M1313" s="299"/>
      <c r="N1313" s="299"/>
      <c r="O1313" s="299"/>
      <c r="P1313" s="299"/>
      <c r="Q1313" s="299"/>
      <c r="R1313" s="299"/>
      <c r="S1313" s="299"/>
      <c r="T1313" s="59"/>
      <c r="U1313" s="59"/>
      <c r="V1313" s="59"/>
      <c r="W1313" s="59"/>
      <c r="X1313" s="59"/>
      <c r="Y1313" s="59"/>
      <c r="Z1313" s="59"/>
      <c r="AA1313" s="59"/>
      <c r="AB1313" s="59"/>
      <c r="AC1313" s="59"/>
    </row>
    <row r="1314" ht="15.75" customHeight="1">
      <c r="A1314" s="298"/>
      <c r="B1314" s="299"/>
      <c r="C1314" s="299"/>
      <c r="D1314" s="299"/>
      <c r="E1314" s="300"/>
      <c r="F1314" s="299"/>
      <c r="G1314" s="299"/>
      <c r="H1314" s="301"/>
      <c r="I1314" s="301"/>
      <c r="J1314" s="301"/>
      <c r="K1314" s="301"/>
      <c r="L1314" s="299"/>
      <c r="M1314" s="299"/>
      <c r="N1314" s="299"/>
      <c r="O1314" s="299"/>
      <c r="P1314" s="299"/>
      <c r="Q1314" s="299"/>
      <c r="R1314" s="299"/>
      <c r="S1314" s="299"/>
      <c r="T1314" s="59"/>
      <c r="U1314" s="59"/>
      <c r="V1314" s="59"/>
      <c r="W1314" s="59"/>
      <c r="X1314" s="59"/>
      <c r="Y1314" s="59"/>
      <c r="Z1314" s="59"/>
      <c r="AA1314" s="59"/>
      <c r="AB1314" s="59"/>
      <c r="AC1314" s="59"/>
    </row>
    <row r="1315" ht="15.75" customHeight="1">
      <c r="A1315" s="298"/>
      <c r="B1315" s="299"/>
      <c r="C1315" s="299"/>
      <c r="D1315" s="299"/>
      <c r="E1315" s="300"/>
      <c r="F1315" s="299"/>
      <c r="G1315" s="299"/>
      <c r="H1315" s="301"/>
      <c r="I1315" s="301"/>
      <c r="J1315" s="301"/>
      <c r="K1315" s="301"/>
      <c r="L1315" s="299"/>
      <c r="M1315" s="299"/>
      <c r="N1315" s="299"/>
      <c r="O1315" s="299"/>
      <c r="P1315" s="299"/>
      <c r="Q1315" s="299"/>
      <c r="R1315" s="299"/>
      <c r="S1315" s="299"/>
      <c r="T1315" s="59"/>
      <c r="U1315" s="59"/>
      <c r="V1315" s="59"/>
      <c r="W1315" s="59"/>
      <c r="X1315" s="59"/>
      <c r="Y1315" s="59"/>
      <c r="Z1315" s="59"/>
      <c r="AA1315" s="59"/>
      <c r="AB1315" s="59"/>
      <c r="AC1315" s="59"/>
    </row>
    <row r="1316" ht="15.75" customHeight="1">
      <c r="A1316" s="298"/>
      <c r="B1316" s="299"/>
      <c r="C1316" s="299"/>
      <c r="D1316" s="299"/>
      <c r="E1316" s="300"/>
      <c r="F1316" s="299"/>
      <c r="G1316" s="299"/>
      <c r="H1316" s="301"/>
      <c r="I1316" s="301"/>
      <c r="J1316" s="301"/>
      <c r="K1316" s="301"/>
      <c r="L1316" s="299"/>
      <c r="M1316" s="299"/>
      <c r="N1316" s="299"/>
      <c r="O1316" s="299"/>
      <c r="P1316" s="299"/>
      <c r="Q1316" s="299"/>
      <c r="R1316" s="299"/>
      <c r="S1316" s="299"/>
      <c r="T1316" s="59"/>
      <c r="U1316" s="59"/>
      <c r="V1316" s="59"/>
      <c r="W1316" s="59"/>
      <c r="X1316" s="59"/>
      <c r="Y1316" s="59"/>
      <c r="Z1316" s="59"/>
      <c r="AA1316" s="59"/>
      <c r="AB1316" s="59"/>
      <c r="AC1316" s="59"/>
    </row>
    <row r="1317" ht="15.75" customHeight="1">
      <c r="A1317" s="298"/>
      <c r="B1317" s="299"/>
      <c r="C1317" s="299"/>
      <c r="D1317" s="299"/>
      <c r="E1317" s="300"/>
      <c r="F1317" s="299"/>
      <c r="G1317" s="299"/>
      <c r="H1317" s="301"/>
      <c r="I1317" s="301"/>
      <c r="J1317" s="301"/>
      <c r="K1317" s="301"/>
      <c r="L1317" s="299"/>
      <c r="M1317" s="299"/>
      <c r="N1317" s="299"/>
      <c r="O1317" s="299"/>
      <c r="P1317" s="299"/>
      <c r="Q1317" s="299"/>
      <c r="R1317" s="299"/>
      <c r="S1317" s="299"/>
      <c r="T1317" s="59"/>
      <c r="U1317" s="59"/>
      <c r="V1317" s="59"/>
      <c r="W1317" s="59"/>
      <c r="X1317" s="59"/>
      <c r="Y1317" s="59"/>
      <c r="Z1317" s="59"/>
      <c r="AA1317" s="59"/>
      <c r="AB1317" s="59"/>
      <c r="AC1317" s="59"/>
    </row>
    <row r="1318" ht="15.75" customHeight="1">
      <c r="A1318" s="298"/>
      <c r="B1318" s="299"/>
      <c r="C1318" s="299"/>
      <c r="D1318" s="299"/>
      <c r="E1318" s="300"/>
      <c r="F1318" s="299"/>
      <c r="G1318" s="299"/>
      <c r="H1318" s="301"/>
      <c r="I1318" s="301"/>
      <c r="J1318" s="301"/>
      <c r="K1318" s="301"/>
      <c r="L1318" s="299"/>
      <c r="M1318" s="299"/>
      <c r="N1318" s="299"/>
      <c r="O1318" s="299"/>
      <c r="P1318" s="299"/>
      <c r="Q1318" s="299"/>
      <c r="R1318" s="299"/>
      <c r="S1318" s="299"/>
      <c r="T1318" s="59"/>
      <c r="U1318" s="59"/>
      <c r="V1318" s="59"/>
      <c r="W1318" s="59"/>
      <c r="X1318" s="59"/>
      <c r="Y1318" s="59"/>
      <c r="Z1318" s="59"/>
      <c r="AA1318" s="59"/>
      <c r="AB1318" s="59"/>
      <c r="AC1318" s="59"/>
    </row>
    <row r="1319" ht="15.75" customHeight="1">
      <c r="A1319" s="298"/>
      <c r="B1319" s="299"/>
      <c r="C1319" s="299"/>
      <c r="D1319" s="299"/>
      <c r="E1319" s="300"/>
      <c r="F1319" s="299"/>
      <c r="G1319" s="299"/>
      <c r="H1319" s="301"/>
      <c r="I1319" s="301"/>
      <c r="J1319" s="301"/>
      <c r="K1319" s="301"/>
      <c r="L1319" s="299"/>
      <c r="M1319" s="299"/>
      <c r="N1319" s="299"/>
      <c r="O1319" s="299"/>
      <c r="P1319" s="299"/>
      <c r="Q1319" s="299"/>
      <c r="R1319" s="299"/>
      <c r="S1319" s="299"/>
      <c r="T1319" s="59"/>
      <c r="U1319" s="59"/>
      <c r="V1319" s="59"/>
      <c r="W1319" s="59"/>
      <c r="X1319" s="59"/>
      <c r="Y1319" s="59"/>
      <c r="Z1319" s="59"/>
      <c r="AA1319" s="59"/>
      <c r="AB1319" s="59"/>
      <c r="AC1319" s="59"/>
    </row>
    <row r="1320" ht="15.75" customHeight="1">
      <c r="A1320" s="298"/>
      <c r="B1320" s="299"/>
      <c r="C1320" s="299"/>
      <c r="D1320" s="299"/>
      <c r="E1320" s="300"/>
      <c r="F1320" s="299"/>
      <c r="G1320" s="299"/>
      <c r="H1320" s="301"/>
      <c r="I1320" s="301"/>
      <c r="J1320" s="301"/>
      <c r="K1320" s="301"/>
      <c r="L1320" s="299"/>
      <c r="M1320" s="299"/>
      <c r="N1320" s="299"/>
      <c r="O1320" s="299"/>
      <c r="P1320" s="299"/>
      <c r="Q1320" s="299"/>
      <c r="R1320" s="299"/>
      <c r="S1320" s="299"/>
      <c r="T1320" s="59"/>
      <c r="U1320" s="59"/>
      <c r="V1320" s="59"/>
      <c r="W1320" s="59"/>
      <c r="X1320" s="59"/>
      <c r="Y1320" s="59"/>
      <c r="Z1320" s="59"/>
      <c r="AA1320" s="59"/>
      <c r="AB1320" s="59"/>
      <c r="AC1320" s="59"/>
    </row>
    <row r="1321" ht="15.75" customHeight="1">
      <c r="A1321" s="298"/>
      <c r="B1321" s="299"/>
      <c r="C1321" s="299"/>
      <c r="D1321" s="299"/>
      <c r="E1321" s="300"/>
      <c r="F1321" s="299"/>
      <c r="G1321" s="299"/>
      <c r="H1321" s="301"/>
      <c r="I1321" s="301"/>
      <c r="J1321" s="301"/>
      <c r="K1321" s="301"/>
      <c r="L1321" s="299"/>
      <c r="M1321" s="299"/>
      <c r="N1321" s="299"/>
      <c r="O1321" s="299"/>
      <c r="P1321" s="299"/>
      <c r="Q1321" s="299"/>
      <c r="R1321" s="299"/>
      <c r="S1321" s="299"/>
      <c r="T1321" s="59"/>
      <c r="U1321" s="59"/>
      <c r="V1321" s="59"/>
      <c r="W1321" s="59"/>
      <c r="X1321" s="59"/>
      <c r="Y1321" s="59"/>
      <c r="Z1321" s="59"/>
      <c r="AA1321" s="59"/>
      <c r="AB1321" s="59"/>
      <c r="AC1321" s="59"/>
    </row>
    <row r="1322" ht="15.75" customHeight="1">
      <c r="A1322" s="298"/>
      <c r="B1322" s="299"/>
      <c r="C1322" s="299"/>
      <c r="D1322" s="299"/>
      <c r="E1322" s="300"/>
      <c r="F1322" s="299"/>
      <c r="G1322" s="299"/>
      <c r="H1322" s="301"/>
      <c r="I1322" s="301"/>
      <c r="J1322" s="301"/>
      <c r="K1322" s="301"/>
      <c r="L1322" s="299"/>
      <c r="M1322" s="299"/>
      <c r="N1322" s="299"/>
      <c r="O1322" s="299"/>
      <c r="P1322" s="299"/>
      <c r="Q1322" s="299"/>
      <c r="R1322" s="299"/>
      <c r="S1322" s="299"/>
      <c r="T1322" s="59"/>
      <c r="U1322" s="59"/>
      <c r="V1322" s="59"/>
      <c r="W1322" s="59"/>
      <c r="X1322" s="59"/>
      <c r="Y1322" s="59"/>
      <c r="Z1322" s="59"/>
      <c r="AA1322" s="59"/>
      <c r="AB1322" s="59"/>
      <c r="AC1322" s="59"/>
    </row>
    <row r="1323" ht="15.75" customHeight="1">
      <c r="A1323" s="298"/>
      <c r="B1323" s="299"/>
      <c r="C1323" s="299"/>
      <c r="D1323" s="299"/>
      <c r="E1323" s="300"/>
      <c r="F1323" s="299"/>
      <c r="G1323" s="299"/>
      <c r="H1323" s="301"/>
      <c r="I1323" s="301"/>
      <c r="J1323" s="301"/>
      <c r="K1323" s="301"/>
      <c r="L1323" s="299"/>
      <c r="M1323" s="299"/>
      <c r="N1323" s="299"/>
      <c r="O1323" s="299"/>
      <c r="P1323" s="299"/>
      <c r="Q1323" s="299"/>
      <c r="R1323" s="299"/>
      <c r="S1323" s="299"/>
      <c r="T1323" s="59"/>
      <c r="U1323" s="59"/>
      <c r="V1323" s="59"/>
      <c r="W1323" s="59"/>
      <c r="X1323" s="59"/>
      <c r="Y1323" s="59"/>
      <c r="Z1323" s="59"/>
      <c r="AA1323" s="59"/>
      <c r="AB1323" s="59"/>
      <c r="AC1323" s="59"/>
    </row>
    <row r="1324" ht="15.75" customHeight="1">
      <c r="A1324" s="298"/>
      <c r="B1324" s="299"/>
      <c r="C1324" s="299"/>
      <c r="D1324" s="299"/>
      <c r="E1324" s="300"/>
      <c r="F1324" s="299"/>
      <c r="G1324" s="299"/>
      <c r="H1324" s="301"/>
      <c r="I1324" s="301"/>
      <c r="J1324" s="301"/>
      <c r="K1324" s="301"/>
      <c r="L1324" s="299"/>
      <c r="M1324" s="299"/>
      <c r="N1324" s="299"/>
      <c r="O1324" s="299"/>
      <c r="P1324" s="299"/>
      <c r="Q1324" s="299"/>
      <c r="R1324" s="299"/>
      <c r="S1324" s="299"/>
      <c r="T1324" s="59"/>
      <c r="U1324" s="59"/>
      <c r="V1324" s="59"/>
      <c r="W1324" s="59"/>
      <c r="X1324" s="59"/>
      <c r="Y1324" s="59"/>
      <c r="Z1324" s="59"/>
      <c r="AA1324" s="59"/>
      <c r="AB1324" s="59"/>
      <c r="AC1324" s="59"/>
    </row>
    <row r="1325" ht="15.75" customHeight="1">
      <c r="A1325" s="298"/>
      <c r="B1325" s="299"/>
      <c r="C1325" s="299"/>
      <c r="D1325" s="299"/>
      <c r="E1325" s="300"/>
      <c r="F1325" s="299"/>
      <c r="G1325" s="299"/>
      <c r="H1325" s="301"/>
      <c r="I1325" s="301"/>
      <c r="J1325" s="301"/>
      <c r="K1325" s="301"/>
      <c r="L1325" s="299"/>
      <c r="M1325" s="299"/>
      <c r="N1325" s="299"/>
      <c r="O1325" s="299"/>
      <c r="P1325" s="299"/>
      <c r="Q1325" s="299"/>
      <c r="R1325" s="299"/>
      <c r="S1325" s="299"/>
      <c r="T1325" s="59"/>
      <c r="U1325" s="59"/>
      <c r="V1325" s="59"/>
      <c r="W1325" s="59"/>
      <c r="X1325" s="59"/>
      <c r="Y1325" s="59"/>
      <c r="Z1325" s="59"/>
      <c r="AA1325" s="59"/>
      <c r="AB1325" s="59"/>
      <c r="AC1325" s="59"/>
    </row>
    <row r="1326" ht="15.75" customHeight="1">
      <c r="A1326" s="298"/>
      <c r="B1326" s="299"/>
      <c r="C1326" s="299"/>
      <c r="D1326" s="299"/>
      <c r="E1326" s="300"/>
      <c r="F1326" s="299"/>
      <c r="G1326" s="299"/>
      <c r="H1326" s="301"/>
      <c r="I1326" s="301"/>
      <c r="J1326" s="301"/>
      <c r="K1326" s="301"/>
      <c r="L1326" s="299"/>
      <c r="M1326" s="299"/>
      <c r="N1326" s="299"/>
      <c r="O1326" s="299"/>
      <c r="P1326" s="299"/>
      <c r="Q1326" s="299"/>
      <c r="R1326" s="299"/>
      <c r="S1326" s="299"/>
      <c r="T1326" s="59"/>
      <c r="U1326" s="59"/>
      <c r="V1326" s="59"/>
      <c r="W1326" s="59"/>
      <c r="X1326" s="59"/>
      <c r="Y1326" s="59"/>
      <c r="Z1326" s="59"/>
      <c r="AA1326" s="59"/>
      <c r="AB1326" s="59"/>
      <c r="AC1326" s="59"/>
    </row>
    <row r="1327" ht="15.75" customHeight="1">
      <c r="A1327" s="298"/>
      <c r="B1327" s="299"/>
      <c r="C1327" s="299"/>
      <c r="D1327" s="299"/>
      <c r="E1327" s="300"/>
      <c r="F1327" s="299"/>
      <c r="G1327" s="299"/>
      <c r="H1327" s="301"/>
      <c r="I1327" s="301"/>
      <c r="J1327" s="301"/>
      <c r="K1327" s="301"/>
      <c r="L1327" s="299"/>
      <c r="M1327" s="299"/>
      <c r="N1327" s="299"/>
      <c r="O1327" s="299"/>
      <c r="P1327" s="299"/>
      <c r="Q1327" s="299"/>
      <c r="R1327" s="299"/>
      <c r="S1327" s="299"/>
      <c r="T1327" s="59"/>
      <c r="U1327" s="59"/>
      <c r="V1327" s="59"/>
      <c r="W1327" s="59"/>
      <c r="X1327" s="59"/>
      <c r="Y1327" s="59"/>
      <c r="Z1327" s="59"/>
      <c r="AA1327" s="59"/>
      <c r="AB1327" s="59"/>
      <c r="AC1327" s="59"/>
    </row>
    <row r="1328" ht="15.75" customHeight="1">
      <c r="A1328" s="298"/>
      <c r="B1328" s="299"/>
      <c r="C1328" s="299"/>
      <c r="D1328" s="299"/>
      <c r="E1328" s="300"/>
      <c r="F1328" s="299"/>
      <c r="G1328" s="299"/>
      <c r="H1328" s="301"/>
      <c r="I1328" s="301"/>
      <c r="J1328" s="301"/>
      <c r="K1328" s="301"/>
      <c r="L1328" s="299"/>
      <c r="M1328" s="299"/>
      <c r="N1328" s="299"/>
      <c r="O1328" s="299"/>
      <c r="P1328" s="299"/>
      <c r="Q1328" s="299"/>
      <c r="R1328" s="299"/>
      <c r="S1328" s="299"/>
      <c r="T1328" s="59"/>
      <c r="U1328" s="59"/>
      <c r="V1328" s="59"/>
      <c r="W1328" s="59"/>
      <c r="X1328" s="59"/>
      <c r="Y1328" s="59"/>
      <c r="Z1328" s="59"/>
      <c r="AA1328" s="59"/>
      <c r="AB1328" s="59"/>
      <c r="AC1328" s="59"/>
    </row>
    <row r="1329" ht="15.75" customHeight="1">
      <c r="A1329" s="298"/>
      <c r="B1329" s="299"/>
      <c r="C1329" s="299"/>
      <c r="D1329" s="299"/>
      <c r="E1329" s="300"/>
      <c r="F1329" s="299"/>
      <c r="G1329" s="299"/>
      <c r="H1329" s="301"/>
      <c r="I1329" s="301"/>
      <c r="J1329" s="301"/>
      <c r="K1329" s="301"/>
      <c r="L1329" s="299"/>
      <c r="M1329" s="299"/>
      <c r="N1329" s="299"/>
      <c r="O1329" s="299"/>
      <c r="P1329" s="299"/>
      <c r="Q1329" s="299"/>
      <c r="R1329" s="299"/>
      <c r="S1329" s="299"/>
      <c r="T1329" s="59"/>
      <c r="U1329" s="59"/>
      <c r="V1329" s="59"/>
      <c r="W1329" s="59"/>
      <c r="X1329" s="59"/>
      <c r="Y1329" s="59"/>
      <c r="Z1329" s="59"/>
      <c r="AA1329" s="59"/>
      <c r="AB1329" s="59"/>
      <c r="AC1329" s="59"/>
    </row>
    <row r="1330" ht="15.75" customHeight="1">
      <c r="A1330" s="298"/>
      <c r="B1330" s="299"/>
      <c r="C1330" s="299"/>
      <c r="D1330" s="299"/>
      <c r="E1330" s="300"/>
      <c r="F1330" s="299"/>
      <c r="G1330" s="299"/>
      <c r="H1330" s="301"/>
      <c r="I1330" s="301"/>
      <c r="J1330" s="301"/>
      <c r="K1330" s="301"/>
      <c r="L1330" s="299"/>
      <c r="M1330" s="299"/>
      <c r="N1330" s="299"/>
      <c r="O1330" s="299"/>
      <c r="P1330" s="299"/>
      <c r="Q1330" s="299"/>
      <c r="R1330" s="299"/>
      <c r="S1330" s="299"/>
      <c r="T1330" s="59"/>
      <c r="U1330" s="59"/>
      <c r="V1330" s="59"/>
      <c r="W1330" s="59"/>
      <c r="X1330" s="59"/>
      <c r="Y1330" s="59"/>
      <c r="Z1330" s="59"/>
      <c r="AA1330" s="59"/>
      <c r="AB1330" s="59"/>
      <c r="AC1330" s="59"/>
    </row>
    <row r="1331" ht="15.75" customHeight="1">
      <c r="A1331" s="298"/>
      <c r="B1331" s="299"/>
      <c r="C1331" s="299"/>
      <c r="D1331" s="299"/>
      <c r="E1331" s="300"/>
      <c r="F1331" s="299"/>
      <c r="G1331" s="299"/>
      <c r="H1331" s="301"/>
      <c r="I1331" s="301"/>
      <c r="J1331" s="301"/>
      <c r="K1331" s="301"/>
      <c r="L1331" s="299"/>
      <c r="M1331" s="299"/>
      <c r="N1331" s="299"/>
      <c r="O1331" s="299"/>
      <c r="P1331" s="299"/>
      <c r="Q1331" s="299"/>
      <c r="R1331" s="299"/>
      <c r="S1331" s="299"/>
      <c r="T1331" s="59"/>
      <c r="U1331" s="59"/>
      <c r="V1331" s="59"/>
      <c r="W1331" s="59"/>
      <c r="X1331" s="59"/>
      <c r="Y1331" s="59"/>
      <c r="Z1331" s="59"/>
      <c r="AA1331" s="59"/>
      <c r="AB1331" s="59"/>
      <c r="AC1331" s="59"/>
    </row>
    <row r="1332" ht="15.75" customHeight="1">
      <c r="A1332" s="298"/>
      <c r="B1332" s="299"/>
      <c r="C1332" s="299"/>
      <c r="D1332" s="299"/>
      <c r="E1332" s="300"/>
      <c r="F1332" s="299"/>
      <c r="G1332" s="299"/>
      <c r="H1332" s="301"/>
      <c r="I1332" s="301"/>
      <c r="J1332" s="301"/>
      <c r="K1332" s="301"/>
      <c r="L1332" s="299"/>
      <c r="M1332" s="299"/>
      <c r="N1332" s="299"/>
      <c r="O1332" s="299"/>
      <c r="P1332" s="299"/>
      <c r="Q1332" s="299"/>
      <c r="R1332" s="299"/>
      <c r="S1332" s="299"/>
      <c r="T1332" s="59"/>
      <c r="U1332" s="59"/>
      <c r="V1332" s="59"/>
      <c r="W1332" s="59"/>
      <c r="X1332" s="59"/>
      <c r="Y1332" s="59"/>
      <c r="Z1332" s="59"/>
      <c r="AA1332" s="59"/>
      <c r="AB1332" s="59"/>
      <c r="AC1332" s="59"/>
    </row>
    <row r="1333" ht="15.75" customHeight="1">
      <c r="A1333" s="298"/>
      <c r="B1333" s="299"/>
      <c r="C1333" s="299"/>
      <c r="D1333" s="299"/>
      <c r="E1333" s="300"/>
      <c r="F1333" s="299"/>
      <c r="G1333" s="299"/>
      <c r="H1333" s="301"/>
      <c r="I1333" s="301"/>
      <c r="J1333" s="301"/>
      <c r="K1333" s="301"/>
      <c r="L1333" s="299"/>
      <c r="M1333" s="299"/>
      <c r="N1333" s="299"/>
      <c r="O1333" s="299"/>
      <c r="P1333" s="299"/>
      <c r="Q1333" s="299"/>
      <c r="R1333" s="299"/>
      <c r="S1333" s="299"/>
      <c r="T1333" s="59"/>
      <c r="U1333" s="59"/>
      <c r="V1333" s="59"/>
      <c r="W1333" s="59"/>
      <c r="X1333" s="59"/>
      <c r="Y1333" s="59"/>
      <c r="Z1333" s="59"/>
      <c r="AA1333" s="59"/>
      <c r="AB1333" s="59"/>
      <c r="AC1333" s="59"/>
    </row>
    <row r="1334" ht="15.75" customHeight="1">
      <c r="A1334" s="298"/>
      <c r="B1334" s="299"/>
      <c r="C1334" s="299"/>
      <c r="D1334" s="299"/>
      <c r="E1334" s="300"/>
      <c r="F1334" s="299"/>
      <c r="G1334" s="299"/>
      <c r="H1334" s="301"/>
      <c r="I1334" s="301"/>
      <c r="J1334" s="301"/>
      <c r="K1334" s="301"/>
      <c r="L1334" s="299"/>
      <c r="M1334" s="299"/>
      <c r="N1334" s="299"/>
      <c r="O1334" s="299"/>
      <c r="P1334" s="299"/>
      <c r="Q1334" s="299"/>
      <c r="R1334" s="299"/>
      <c r="S1334" s="299"/>
      <c r="T1334" s="59"/>
      <c r="U1334" s="59"/>
      <c r="V1334" s="59"/>
      <c r="W1334" s="59"/>
      <c r="X1334" s="59"/>
      <c r="Y1334" s="59"/>
      <c r="Z1334" s="59"/>
      <c r="AA1334" s="59"/>
      <c r="AB1334" s="59"/>
      <c r="AC1334" s="59"/>
    </row>
    <row r="1335" ht="15.75" customHeight="1">
      <c r="A1335" s="298"/>
      <c r="B1335" s="299"/>
      <c r="C1335" s="299"/>
      <c r="D1335" s="299"/>
      <c r="E1335" s="300"/>
      <c r="F1335" s="299"/>
      <c r="G1335" s="299"/>
      <c r="H1335" s="301"/>
      <c r="I1335" s="301"/>
      <c r="J1335" s="301"/>
      <c r="K1335" s="301"/>
      <c r="L1335" s="299"/>
      <c r="M1335" s="299"/>
      <c r="N1335" s="299"/>
      <c r="O1335" s="299"/>
      <c r="P1335" s="299"/>
      <c r="Q1335" s="299"/>
      <c r="R1335" s="299"/>
      <c r="S1335" s="299"/>
      <c r="T1335" s="59"/>
      <c r="U1335" s="59"/>
      <c r="V1335" s="59"/>
      <c r="W1335" s="59"/>
      <c r="X1335" s="59"/>
      <c r="Y1335" s="59"/>
      <c r="Z1335" s="59"/>
      <c r="AA1335" s="59"/>
      <c r="AB1335" s="59"/>
      <c r="AC1335" s="59"/>
    </row>
    <row r="1336" ht="15.75" customHeight="1">
      <c r="A1336" s="298"/>
      <c r="B1336" s="299"/>
      <c r="C1336" s="299"/>
      <c r="D1336" s="299"/>
      <c r="E1336" s="300"/>
      <c r="F1336" s="299"/>
      <c r="G1336" s="299"/>
      <c r="H1336" s="301"/>
      <c r="I1336" s="301"/>
      <c r="J1336" s="301"/>
      <c r="K1336" s="301"/>
      <c r="L1336" s="299"/>
      <c r="M1336" s="299"/>
      <c r="N1336" s="299"/>
      <c r="O1336" s="299"/>
      <c r="P1336" s="299"/>
      <c r="Q1336" s="299"/>
      <c r="R1336" s="299"/>
      <c r="S1336" s="299"/>
      <c r="T1336" s="59"/>
      <c r="U1336" s="59"/>
      <c r="V1336" s="59"/>
      <c r="W1336" s="59"/>
      <c r="X1336" s="59"/>
      <c r="Y1336" s="59"/>
      <c r="Z1336" s="59"/>
      <c r="AA1336" s="59"/>
      <c r="AB1336" s="59"/>
      <c r="AC1336" s="59"/>
    </row>
    <row r="1337" ht="15.75" customHeight="1">
      <c r="A1337" s="298"/>
      <c r="B1337" s="299"/>
      <c r="C1337" s="299"/>
      <c r="D1337" s="299"/>
      <c r="E1337" s="300"/>
      <c r="F1337" s="299"/>
      <c r="G1337" s="299"/>
      <c r="H1337" s="301"/>
      <c r="I1337" s="301"/>
      <c r="J1337" s="301"/>
      <c r="K1337" s="301"/>
      <c r="L1337" s="299"/>
      <c r="M1337" s="299"/>
      <c r="N1337" s="299"/>
      <c r="O1337" s="299"/>
      <c r="P1337" s="299"/>
      <c r="Q1337" s="299"/>
      <c r="R1337" s="299"/>
      <c r="S1337" s="299"/>
      <c r="T1337" s="59"/>
      <c r="U1337" s="59"/>
      <c r="V1337" s="59"/>
      <c r="W1337" s="59"/>
      <c r="X1337" s="59"/>
      <c r="Y1337" s="59"/>
      <c r="Z1337" s="59"/>
      <c r="AA1337" s="59"/>
      <c r="AB1337" s="59"/>
      <c r="AC1337" s="59"/>
    </row>
    <row r="1338" ht="15.75" customHeight="1">
      <c r="A1338" s="298"/>
      <c r="B1338" s="299"/>
      <c r="C1338" s="299"/>
      <c r="D1338" s="299"/>
      <c r="E1338" s="300"/>
      <c r="F1338" s="299"/>
      <c r="G1338" s="299"/>
      <c r="H1338" s="301"/>
      <c r="I1338" s="301"/>
      <c r="J1338" s="301"/>
      <c r="K1338" s="301"/>
      <c r="L1338" s="299"/>
      <c r="M1338" s="299"/>
      <c r="N1338" s="299"/>
      <c r="O1338" s="299"/>
      <c r="P1338" s="299"/>
      <c r="Q1338" s="299"/>
      <c r="R1338" s="299"/>
      <c r="S1338" s="299"/>
      <c r="T1338" s="59"/>
      <c r="U1338" s="59"/>
      <c r="V1338" s="59"/>
      <c r="W1338" s="59"/>
      <c r="X1338" s="59"/>
      <c r="Y1338" s="59"/>
      <c r="Z1338" s="59"/>
      <c r="AA1338" s="59"/>
      <c r="AB1338" s="59"/>
      <c r="AC1338" s="59"/>
    </row>
    <row r="1339" ht="15.75" customHeight="1">
      <c r="A1339" s="298"/>
      <c r="B1339" s="299"/>
      <c r="C1339" s="299"/>
      <c r="D1339" s="299"/>
      <c r="E1339" s="300"/>
      <c r="F1339" s="299"/>
      <c r="G1339" s="299"/>
      <c r="H1339" s="301"/>
      <c r="I1339" s="301"/>
      <c r="J1339" s="301"/>
      <c r="K1339" s="301"/>
      <c r="L1339" s="299"/>
      <c r="M1339" s="299"/>
      <c r="N1339" s="299"/>
      <c r="O1339" s="299"/>
      <c r="P1339" s="299"/>
      <c r="Q1339" s="299"/>
      <c r="R1339" s="299"/>
      <c r="S1339" s="299"/>
      <c r="T1339" s="59"/>
      <c r="U1339" s="59"/>
      <c r="V1339" s="59"/>
      <c r="W1339" s="59"/>
      <c r="X1339" s="59"/>
      <c r="Y1339" s="59"/>
      <c r="Z1339" s="59"/>
      <c r="AA1339" s="59"/>
      <c r="AB1339" s="59"/>
      <c r="AC1339" s="59"/>
    </row>
    <row r="1340" ht="15.75" customHeight="1">
      <c r="A1340" s="298"/>
      <c r="B1340" s="299"/>
      <c r="C1340" s="299"/>
      <c r="D1340" s="299"/>
      <c r="E1340" s="300"/>
      <c r="F1340" s="299"/>
      <c r="G1340" s="299"/>
      <c r="H1340" s="301"/>
      <c r="I1340" s="301"/>
      <c r="J1340" s="301"/>
      <c r="K1340" s="301"/>
      <c r="L1340" s="299"/>
      <c r="M1340" s="299"/>
      <c r="N1340" s="299"/>
      <c r="O1340" s="299"/>
      <c r="P1340" s="299"/>
      <c r="Q1340" s="299"/>
      <c r="R1340" s="299"/>
      <c r="S1340" s="299"/>
      <c r="T1340" s="59"/>
      <c r="U1340" s="59"/>
      <c r="V1340" s="59"/>
      <c r="W1340" s="59"/>
      <c r="X1340" s="59"/>
      <c r="Y1340" s="59"/>
      <c r="Z1340" s="59"/>
      <c r="AA1340" s="59"/>
      <c r="AB1340" s="59"/>
      <c r="AC1340" s="59"/>
    </row>
    <row r="1341" ht="15.75" customHeight="1">
      <c r="A1341" s="298"/>
      <c r="B1341" s="299"/>
      <c r="C1341" s="299"/>
      <c r="D1341" s="299"/>
      <c r="E1341" s="300"/>
      <c r="F1341" s="299"/>
      <c r="G1341" s="299"/>
      <c r="H1341" s="301"/>
      <c r="I1341" s="301"/>
      <c r="J1341" s="301"/>
      <c r="K1341" s="301"/>
      <c r="L1341" s="299"/>
      <c r="M1341" s="299"/>
      <c r="N1341" s="299"/>
      <c r="O1341" s="299"/>
      <c r="P1341" s="299"/>
      <c r="Q1341" s="299"/>
      <c r="R1341" s="299"/>
      <c r="S1341" s="299"/>
      <c r="T1341" s="59"/>
      <c r="U1341" s="59"/>
      <c r="V1341" s="59"/>
      <c r="W1341" s="59"/>
      <c r="X1341" s="59"/>
      <c r="Y1341" s="59"/>
      <c r="Z1341" s="59"/>
      <c r="AA1341" s="59"/>
      <c r="AB1341" s="59"/>
      <c r="AC1341" s="59"/>
    </row>
    <row r="1342" ht="15.75" customHeight="1">
      <c r="A1342" s="298"/>
      <c r="B1342" s="299"/>
      <c r="C1342" s="299"/>
      <c r="D1342" s="299"/>
      <c r="E1342" s="300"/>
      <c r="F1342" s="299"/>
      <c r="G1342" s="299"/>
      <c r="H1342" s="301"/>
      <c r="I1342" s="301"/>
      <c r="J1342" s="301"/>
      <c r="K1342" s="301"/>
      <c r="L1342" s="299"/>
      <c r="M1342" s="299"/>
      <c r="N1342" s="299"/>
      <c r="O1342" s="299"/>
      <c r="P1342" s="299"/>
      <c r="Q1342" s="299"/>
      <c r="R1342" s="299"/>
      <c r="S1342" s="299"/>
      <c r="T1342" s="59"/>
      <c r="U1342" s="59"/>
      <c r="V1342" s="59"/>
      <c r="W1342" s="59"/>
      <c r="X1342" s="59"/>
      <c r="Y1342" s="59"/>
      <c r="Z1342" s="59"/>
      <c r="AA1342" s="59"/>
      <c r="AB1342" s="59"/>
      <c r="AC1342" s="59"/>
    </row>
    <row r="1343" ht="15.75" customHeight="1">
      <c r="A1343" s="298"/>
      <c r="B1343" s="299"/>
      <c r="C1343" s="299"/>
      <c r="D1343" s="299"/>
      <c r="E1343" s="300"/>
      <c r="F1343" s="299"/>
      <c r="G1343" s="299"/>
      <c r="H1343" s="301"/>
      <c r="I1343" s="301"/>
      <c r="J1343" s="301"/>
      <c r="K1343" s="301"/>
      <c r="L1343" s="299"/>
      <c r="M1343" s="299"/>
      <c r="N1343" s="299"/>
      <c r="O1343" s="299"/>
      <c r="P1343" s="299"/>
      <c r="Q1343" s="299"/>
      <c r="R1343" s="299"/>
      <c r="S1343" s="299"/>
      <c r="T1343" s="59"/>
      <c r="U1343" s="59"/>
      <c r="V1343" s="59"/>
      <c r="W1343" s="59"/>
      <c r="X1343" s="59"/>
      <c r="Y1343" s="59"/>
      <c r="Z1343" s="59"/>
      <c r="AA1343" s="59"/>
      <c r="AB1343" s="59"/>
      <c r="AC1343" s="59"/>
    </row>
    <row r="1344" ht="15.75" customHeight="1">
      <c r="A1344" s="298"/>
      <c r="B1344" s="299"/>
      <c r="C1344" s="299"/>
      <c r="D1344" s="299"/>
      <c r="E1344" s="300"/>
      <c r="F1344" s="299"/>
      <c r="G1344" s="299"/>
      <c r="H1344" s="301"/>
      <c r="I1344" s="301"/>
      <c r="J1344" s="301"/>
      <c r="K1344" s="301"/>
      <c r="L1344" s="299"/>
      <c r="M1344" s="299"/>
      <c r="N1344" s="299"/>
      <c r="O1344" s="299"/>
      <c r="P1344" s="299"/>
      <c r="Q1344" s="299"/>
      <c r="R1344" s="299"/>
      <c r="S1344" s="299"/>
      <c r="T1344" s="59"/>
      <c r="U1344" s="59"/>
      <c r="V1344" s="59"/>
      <c r="W1344" s="59"/>
      <c r="X1344" s="59"/>
      <c r="Y1344" s="59"/>
      <c r="Z1344" s="59"/>
      <c r="AA1344" s="59"/>
      <c r="AB1344" s="59"/>
      <c r="AC1344" s="59"/>
    </row>
    <row r="1345" ht="15.75" customHeight="1">
      <c r="A1345" s="298"/>
      <c r="B1345" s="299"/>
      <c r="C1345" s="299"/>
      <c r="D1345" s="299"/>
      <c r="E1345" s="300"/>
      <c r="F1345" s="299"/>
      <c r="G1345" s="299"/>
      <c r="H1345" s="301"/>
      <c r="I1345" s="301"/>
      <c r="J1345" s="301"/>
      <c r="K1345" s="301"/>
      <c r="L1345" s="299"/>
      <c r="M1345" s="299"/>
      <c r="N1345" s="299"/>
      <c r="O1345" s="299"/>
      <c r="P1345" s="299"/>
      <c r="Q1345" s="299"/>
      <c r="R1345" s="299"/>
      <c r="S1345" s="299"/>
      <c r="T1345" s="59"/>
      <c r="U1345" s="59"/>
      <c r="V1345" s="59"/>
      <c r="W1345" s="59"/>
      <c r="X1345" s="59"/>
      <c r="Y1345" s="59"/>
      <c r="Z1345" s="59"/>
      <c r="AA1345" s="59"/>
      <c r="AB1345" s="59"/>
      <c r="AC1345" s="59"/>
    </row>
    <row r="1346" ht="15.75" customHeight="1">
      <c r="A1346" s="298"/>
      <c r="B1346" s="299"/>
      <c r="C1346" s="299"/>
      <c r="D1346" s="299"/>
      <c r="E1346" s="300"/>
      <c r="F1346" s="299"/>
      <c r="G1346" s="299"/>
      <c r="H1346" s="301"/>
      <c r="I1346" s="301"/>
      <c r="J1346" s="301"/>
      <c r="K1346" s="301"/>
      <c r="L1346" s="299"/>
      <c r="M1346" s="299"/>
      <c r="N1346" s="299"/>
      <c r="O1346" s="299"/>
      <c r="P1346" s="299"/>
      <c r="Q1346" s="299"/>
      <c r="R1346" s="299"/>
      <c r="S1346" s="299"/>
      <c r="T1346" s="59"/>
      <c r="U1346" s="59"/>
      <c r="V1346" s="59"/>
      <c r="W1346" s="59"/>
      <c r="X1346" s="59"/>
      <c r="Y1346" s="59"/>
      <c r="Z1346" s="59"/>
      <c r="AA1346" s="59"/>
      <c r="AB1346" s="59"/>
      <c r="AC1346" s="59"/>
    </row>
    <row r="1347" ht="15.75" customHeight="1">
      <c r="A1347" s="298"/>
      <c r="B1347" s="299"/>
      <c r="C1347" s="299"/>
      <c r="D1347" s="299"/>
      <c r="E1347" s="300"/>
      <c r="F1347" s="299"/>
      <c r="G1347" s="299"/>
      <c r="H1347" s="301"/>
      <c r="I1347" s="301"/>
      <c r="J1347" s="301"/>
      <c r="K1347" s="301"/>
      <c r="L1347" s="299"/>
      <c r="M1347" s="299"/>
      <c r="N1347" s="299"/>
      <c r="O1347" s="299"/>
      <c r="P1347" s="299"/>
      <c r="Q1347" s="299"/>
      <c r="R1347" s="299"/>
      <c r="S1347" s="299"/>
      <c r="T1347" s="59"/>
      <c r="U1347" s="59"/>
      <c r="V1347" s="59"/>
      <c r="W1347" s="59"/>
      <c r="X1347" s="59"/>
      <c r="Y1347" s="59"/>
      <c r="Z1347" s="59"/>
      <c r="AA1347" s="59"/>
      <c r="AB1347" s="59"/>
      <c r="AC1347" s="59"/>
    </row>
    <row r="1348" ht="15.75" customHeight="1">
      <c r="A1348" s="298"/>
      <c r="B1348" s="299"/>
      <c r="C1348" s="299"/>
      <c r="D1348" s="299"/>
      <c r="E1348" s="300"/>
      <c r="F1348" s="299"/>
      <c r="G1348" s="299"/>
      <c r="H1348" s="301"/>
      <c r="I1348" s="301"/>
      <c r="J1348" s="301"/>
      <c r="K1348" s="301"/>
      <c r="L1348" s="299"/>
      <c r="M1348" s="299"/>
      <c r="N1348" s="299"/>
      <c r="O1348" s="299"/>
      <c r="P1348" s="299"/>
      <c r="Q1348" s="299"/>
      <c r="R1348" s="299"/>
      <c r="S1348" s="299"/>
      <c r="T1348" s="59"/>
      <c r="U1348" s="59"/>
      <c r="V1348" s="59"/>
      <c r="W1348" s="59"/>
      <c r="X1348" s="59"/>
      <c r="Y1348" s="59"/>
      <c r="Z1348" s="59"/>
      <c r="AA1348" s="59"/>
      <c r="AB1348" s="59"/>
      <c r="AC1348" s="59"/>
    </row>
    <row r="1349" ht="15.75" customHeight="1">
      <c r="A1349" s="298"/>
      <c r="B1349" s="299"/>
      <c r="C1349" s="299"/>
      <c r="D1349" s="299"/>
      <c r="E1349" s="300"/>
      <c r="F1349" s="299"/>
      <c r="G1349" s="299"/>
      <c r="H1349" s="301"/>
      <c r="I1349" s="301"/>
      <c r="J1349" s="301"/>
      <c r="K1349" s="301"/>
      <c r="L1349" s="299"/>
      <c r="M1349" s="299"/>
      <c r="N1349" s="299"/>
      <c r="O1349" s="299"/>
      <c r="P1349" s="299"/>
      <c r="Q1349" s="299"/>
      <c r="R1349" s="299"/>
      <c r="S1349" s="299"/>
      <c r="T1349" s="59"/>
      <c r="U1349" s="59"/>
      <c r="V1349" s="59"/>
      <c r="W1349" s="59"/>
      <c r="X1349" s="59"/>
      <c r="Y1349" s="59"/>
      <c r="Z1349" s="59"/>
      <c r="AA1349" s="59"/>
      <c r="AB1349" s="59"/>
      <c r="AC1349" s="59"/>
    </row>
    <row r="1350" ht="15.75" customHeight="1">
      <c r="A1350" s="298"/>
      <c r="B1350" s="299"/>
      <c r="C1350" s="299"/>
      <c r="D1350" s="299"/>
      <c r="E1350" s="300"/>
      <c r="F1350" s="299"/>
      <c r="G1350" s="299"/>
      <c r="H1350" s="301"/>
      <c r="I1350" s="301"/>
      <c r="J1350" s="301"/>
      <c r="K1350" s="301"/>
      <c r="L1350" s="299"/>
      <c r="M1350" s="299"/>
      <c r="N1350" s="299"/>
      <c r="O1350" s="299"/>
      <c r="P1350" s="299"/>
      <c r="Q1350" s="299"/>
      <c r="R1350" s="299"/>
      <c r="S1350" s="299"/>
      <c r="T1350" s="59"/>
      <c r="U1350" s="59"/>
      <c r="V1350" s="59"/>
      <c r="W1350" s="59"/>
      <c r="X1350" s="59"/>
      <c r="Y1350" s="59"/>
      <c r="Z1350" s="59"/>
      <c r="AA1350" s="59"/>
      <c r="AB1350" s="59"/>
      <c r="AC1350" s="59"/>
    </row>
    <row r="1351" ht="15.75" customHeight="1">
      <c r="A1351" s="298"/>
      <c r="B1351" s="299"/>
      <c r="C1351" s="299"/>
      <c r="D1351" s="299"/>
      <c r="E1351" s="300"/>
      <c r="F1351" s="299"/>
      <c r="G1351" s="299"/>
      <c r="H1351" s="301"/>
      <c r="I1351" s="301"/>
      <c r="J1351" s="301"/>
      <c r="K1351" s="301"/>
      <c r="L1351" s="299"/>
      <c r="M1351" s="299"/>
      <c r="N1351" s="299"/>
      <c r="O1351" s="299"/>
      <c r="P1351" s="299"/>
      <c r="Q1351" s="299"/>
      <c r="R1351" s="299"/>
      <c r="S1351" s="299"/>
      <c r="T1351" s="59"/>
      <c r="U1351" s="59"/>
      <c r="V1351" s="59"/>
      <c r="W1351" s="59"/>
      <c r="X1351" s="59"/>
      <c r="Y1351" s="59"/>
      <c r="Z1351" s="59"/>
      <c r="AA1351" s="59"/>
      <c r="AB1351" s="59"/>
      <c r="AC1351" s="59"/>
    </row>
    <row r="1352" ht="15.75" customHeight="1">
      <c r="A1352" s="298"/>
      <c r="B1352" s="299"/>
      <c r="C1352" s="299"/>
      <c r="D1352" s="299"/>
      <c r="E1352" s="300"/>
      <c r="F1352" s="299"/>
      <c r="G1352" s="299"/>
      <c r="H1352" s="301"/>
      <c r="I1352" s="301"/>
      <c r="J1352" s="301"/>
      <c r="K1352" s="301"/>
      <c r="L1352" s="299"/>
      <c r="M1352" s="299"/>
      <c r="N1352" s="299"/>
      <c r="O1352" s="299"/>
      <c r="P1352" s="299"/>
      <c r="Q1352" s="299"/>
      <c r="R1352" s="299"/>
      <c r="S1352" s="299"/>
      <c r="T1352" s="59"/>
      <c r="U1352" s="59"/>
      <c r="V1352" s="59"/>
      <c r="W1352" s="59"/>
      <c r="X1352" s="59"/>
      <c r="Y1352" s="59"/>
      <c r="Z1352" s="59"/>
      <c r="AA1352" s="59"/>
      <c r="AB1352" s="59"/>
      <c r="AC1352" s="59"/>
    </row>
    <row r="1353" ht="15.75" customHeight="1">
      <c r="A1353" s="298"/>
      <c r="B1353" s="299"/>
      <c r="C1353" s="299"/>
      <c r="D1353" s="299"/>
      <c r="E1353" s="300"/>
      <c r="F1353" s="299"/>
      <c r="G1353" s="299"/>
      <c r="H1353" s="301"/>
      <c r="I1353" s="301"/>
      <c r="J1353" s="301"/>
      <c r="K1353" s="301"/>
      <c r="L1353" s="299"/>
      <c r="M1353" s="299"/>
      <c r="N1353" s="299"/>
      <c r="O1353" s="299"/>
      <c r="P1353" s="299"/>
      <c r="Q1353" s="299"/>
      <c r="R1353" s="299"/>
      <c r="S1353" s="299"/>
      <c r="T1353" s="59"/>
      <c r="U1353" s="59"/>
      <c r="V1353" s="59"/>
      <c r="W1353" s="59"/>
      <c r="X1353" s="59"/>
      <c r="Y1353" s="59"/>
      <c r="Z1353" s="59"/>
      <c r="AA1353" s="59"/>
      <c r="AB1353" s="59"/>
      <c r="AC1353" s="59"/>
    </row>
    <row r="1354" ht="15.75" customHeight="1">
      <c r="A1354" s="298"/>
      <c r="B1354" s="299"/>
      <c r="C1354" s="299"/>
      <c r="D1354" s="299"/>
      <c r="E1354" s="300"/>
      <c r="F1354" s="299"/>
      <c r="G1354" s="299"/>
      <c r="H1354" s="301"/>
      <c r="I1354" s="301"/>
      <c r="J1354" s="301"/>
      <c r="K1354" s="301"/>
      <c r="L1354" s="299"/>
      <c r="M1354" s="299"/>
      <c r="N1354" s="299"/>
      <c r="O1354" s="299"/>
      <c r="P1354" s="299"/>
      <c r="Q1354" s="299"/>
      <c r="R1354" s="299"/>
      <c r="S1354" s="299"/>
      <c r="T1354" s="59"/>
      <c r="U1354" s="59"/>
      <c r="V1354" s="59"/>
      <c r="W1354" s="59"/>
      <c r="X1354" s="59"/>
      <c r="Y1354" s="59"/>
      <c r="Z1354" s="59"/>
      <c r="AA1354" s="59"/>
      <c r="AB1354" s="59"/>
      <c r="AC1354" s="59"/>
    </row>
    <row r="1355" ht="15.75" customHeight="1">
      <c r="A1355" s="298"/>
      <c r="B1355" s="299"/>
      <c r="C1355" s="299"/>
      <c r="D1355" s="299"/>
      <c r="E1355" s="300"/>
      <c r="F1355" s="299"/>
      <c r="G1355" s="299"/>
      <c r="H1355" s="301"/>
      <c r="I1355" s="301"/>
      <c r="J1355" s="301"/>
      <c r="K1355" s="301"/>
      <c r="L1355" s="299"/>
      <c r="M1355" s="299"/>
      <c r="N1355" s="299"/>
      <c r="O1355" s="299"/>
      <c r="P1355" s="299"/>
      <c r="Q1355" s="299"/>
      <c r="R1355" s="299"/>
      <c r="S1355" s="299"/>
      <c r="T1355" s="59"/>
      <c r="U1355" s="59"/>
      <c r="V1355" s="59"/>
      <c r="W1355" s="59"/>
      <c r="X1355" s="59"/>
      <c r="Y1355" s="59"/>
      <c r="Z1355" s="59"/>
      <c r="AA1355" s="59"/>
      <c r="AB1355" s="59"/>
      <c r="AC1355" s="59"/>
    </row>
    <row r="1356" ht="15.75" customHeight="1">
      <c r="A1356" s="298"/>
      <c r="B1356" s="299"/>
      <c r="C1356" s="299"/>
      <c r="D1356" s="299"/>
      <c r="E1356" s="300"/>
      <c r="F1356" s="299"/>
      <c r="G1356" s="299"/>
      <c r="H1356" s="301"/>
      <c r="I1356" s="301"/>
      <c r="J1356" s="301"/>
      <c r="K1356" s="301"/>
      <c r="L1356" s="299"/>
      <c r="M1356" s="299"/>
      <c r="N1356" s="299"/>
      <c r="O1356" s="299"/>
      <c r="P1356" s="299"/>
      <c r="Q1356" s="299"/>
      <c r="R1356" s="299"/>
      <c r="S1356" s="299"/>
      <c r="T1356" s="59"/>
      <c r="U1356" s="59"/>
      <c r="V1356" s="59"/>
      <c r="W1356" s="59"/>
      <c r="X1356" s="59"/>
      <c r="Y1356" s="59"/>
      <c r="Z1356" s="59"/>
      <c r="AA1356" s="59"/>
      <c r="AB1356" s="59"/>
      <c r="AC1356" s="59"/>
    </row>
    <row r="1357" ht="15.75" customHeight="1">
      <c r="A1357" s="298"/>
      <c r="B1357" s="299"/>
      <c r="C1357" s="299"/>
      <c r="D1357" s="299"/>
      <c r="E1357" s="300"/>
      <c r="F1357" s="299"/>
      <c r="G1357" s="299"/>
      <c r="H1357" s="301"/>
      <c r="I1357" s="301"/>
      <c r="J1357" s="301"/>
      <c r="K1357" s="301"/>
      <c r="L1357" s="299"/>
      <c r="M1357" s="299"/>
      <c r="N1357" s="299"/>
      <c r="O1357" s="299"/>
      <c r="P1357" s="299"/>
      <c r="Q1357" s="299"/>
      <c r="R1357" s="299"/>
      <c r="S1357" s="299"/>
      <c r="T1357" s="59"/>
      <c r="U1357" s="59"/>
      <c r="V1357" s="59"/>
      <c r="W1357" s="59"/>
      <c r="X1357" s="59"/>
      <c r="Y1357" s="59"/>
      <c r="Z1357" s="59"/>
      <c r="AA1357" s="59"/>
      <c r="AB1357" s="59"/>
      <c r="AC1357" s="59"/>
    </row>
    <row r="1358" ht="15.75" customHeight="1">
      <c r="A1358" s="298"/>
      <c r="B1358" s="299"/>
      <c r="C1358" s="299"/>
      <c r="D1358" s="299"/>
      <c r="E1358" s="300"/>
      <c r="F1358" s="299"/>
      <c r="G1358" s="299"/>
      <c r="H1358" s="301"/>
      <c r="I1358" s="301"/>
      <c r="J1358" s="301"/>
      <c r="K1358" s="301"/>
      <c r="L1358" s="299"/>
      <c r="M1358" s="299"/>
      <c r="N1358" s="299"/>
      <c r="O1358" s="299"/>
      <c r="P1358" s="299"/>
      <c r="Q1358" s="299"/>
      <c r="R1358" s="299"/>
      <c r="S1358" s="299"/>
      <c r="T1358" s="59"/>
      <c r="U1358" s="59"/>
      <c r="V1358" s="59"/>
      <c r="W1358" s="59"/>
      <c r="X1358" s="59"/>
      <c r="Y1358" s="59"/>
      <c r="Z1358" s="59"/>
      <c r="AA1358" s="59"/>
      <c r="AB1358" s="59"/>
      <c r="AC1358" s="59"/>
    </row>
    <row r="1359" ht="15.75" customHeight="1">
      <c r="A1359" s="298"/>
      <c r="B1359" s="299"/>
      <c r="C1359" s="299"/>
      <c r="D1359" s="299"/>
      <c r="E1359" s="300"/>
      <c r="F1359" s="299"/>
      <c r="G1359" s="299"/>
      <c r="H1359" s="301"/>
      <c r="I1359" s="301"/>
      <c r="J1359" s="301"/>
      <c r="K1359" s="301"/>
      <c r="L1359" s="299"/>
      <c r="M1359" s="299"/>
      <c r="N1359" s="299"/>
      <c r="O1359" s="299"/>
      <c r="P1359" s="299"/>
      <c r="Q1359" s="299"/>
      <c r="R1359" s="299"/>
      <c r="S1359" s="299"/>
      <c r="T1359" s="59"/>
      <c r="U1359" s="59"/>
      <c r="V1359" s="59"/>
      <c r="W1359" s="59"/>
      <c r="X1359" s="59"/>
      <c r="Y1359" s="59"/>
      <c r="Z1359" s="59"/>
      <c r="AA1359" s="59"/>
      <c r="AB1359" s="59"/>
      <c r="AC1359" s="59"/>
    </row>
    <row r="1360" ht="15.75" customHeight="1">
      <c r="A1360" s="298"/>
      <c r="B1360" s="299"/>
      <c r="C1360" s="299"/>
      <c r="D1360" s="299"/>
      <c r="E1360" s="300"/>
      <c r="F1360" s="299"/>
      <c r="G1360" s="299"/>
      <c r="H1360" s="301"/>
      <c r="I1360" s="301"/>
      <c r="J1360" s="301"/>
      <c r="K1360" s="301"/>
      <c r="L1360" s="299"/>
      <c r="M1360" s="299"/>
      <c r="N1360" s="299"/>
      <c r="O1360" s="299"/>
      <c r="P1360" s="299"/>
      <c r="Q1360" s="299"/>
      <c r="R1360" s="299"/>
      <c r="S1360" s="299"/>
      <c r="T1360" s="59"/>
      <c r="U1360" s="59"/>
      <c r="V1360" s="59"/>
      <c r="W1360" s="59"/>
      <c r="X1360" s="59"/>
      <c r="Y1360" s="59"/>
      <c r="Z1360" s="59"/>
      <c r="AA1360" s="59"/>
      <c r="AB1360" s="59"/>
      <c r="AC1360" s="59"/>
    </row>
    <row r="1361" ht="15.75" customHeight="1">
      <c r="A1361" s="298"/>
      <c r="B1361" s="299"/>
      <c r="C1361" s="299"/>
      <c r="D1361" s="299"/>
      <c r="E1361" s="300"/>
      <c r="F1361" s="299"/>
      <c r="G1361" s="299"/>
      <c r="H1361" s="301"/>
      <c r="I1361" s="301"/>
      <c r="J1361" s="301"/>
      <c r="K1361" s="301"/>
      <c r="L1361" s="299"/>
      <c r="M1361" s="299"/>
      <c r="N1361" s="299"/>
      <c r="O1361" s="299"/>
      <c r="P1361" s="299"/>
      <c r="Q1361" s="299"/>
      <c r="R1361" s="299"/>
      <c r="S1361" s="299"/>
      <c r="T1361" s="59"/>
      <c r="U1361" s="59"/>
      <c r="V1361" s="59"/>
      <c r="W1361" s="59"/>
      <c r="X1361" s="59"/>
      <c r="Y1361" s="59"/>
      <c r="Z1361" s="59"/>
      <c r="AA1361" s="59"/>
      <c r="AB1361" s="59"/>
      <c r="AC1361" s="59"/>
    </row>
    <row r="1362" ht="15.75" customHeight="1">
      <c r="A1362" s="298"/>
      <c r="B1362" s="299"/>
      <c r="C1362" s="299"/>
      <c r="D1362" s="299"/>
      <c r="E1362" s="300"/>
      <c r="F1362" s="299"/>
      <c r="G1362" s="299"/>
      <c r="H1362" s="301"/>
      <c r="I1362" s="301"/>
      <c r="J1362" s="301"/>
      <c r="K1362" s="301"/>
      <c r="L1362" s="299"/>
      <c r="M1362" s="299"/>
      <c r="N1362" s="299"/>
      <c r="O1362" s="299"/>
      <c r="P1362" s="299"/>
      <c r="Q1362" s="299"/>
      <c r="R1362" s="299"/>
      <c r="S1362" s="299"/>
      <c r="T1362" s="59"/>
      <c r="U1362" s="59"/>
      <c r="V1362" s="59"/>
      <c r="W1362" s="59"/>
      <c r="X1362" s="59"/>
      <c r="Y1362" s="59"/>
      <c r="Z1362" s="59"/>
      <c r="AA1362" s="59"/>
      <c r="AB1362" s="59"/>
      <c r="AC1362" s="59"/>
    </row>
    <row r="1363" ht="15.75" customHeight="1">
      <c r="A1363" s="298"/>
      <c r="B1363" s="299"/>
      <c r="C1363" s="299"/>
      <c r="D1363" s="299"/>
      <c r="E1363" s="300"/>
      <c r="F1363" s="299"/>
      <c r="G1363" s="299"/>
      <c r="H1363" s="301"/>
      <c r="I1363" s="301"/>
      <c r="J1363" s="301"/>
      <c r="K1363" s="301"/>
      <c r="L1363" s="299"/>
      <c r="M1363" s="299"/>
      <c r="N1363" s="299"/>
      <c r="O1363" s="299"/>
      <c r="P1363" s="299"/>
      <c r="Q1363" s="299"/>
      <c r="R1363" s="299"/>
      <c r="S1363" s="299"/>
      <c r="T1363" s="59"/>
      <c r="U1363" s="59"/>
      <c r="V1363" s="59"/>
      <c r="W1363" s="59"/>
      <c r="X1363" s="59"/>
      <c r="Y1363" s="59"/>
      <c r="Z1363" s="59"/>
      <c r="AA1363" s="59"/>
      <c r="AB1363" s="59"/>
      <c r="AC1363" s="59"/>
    </row>
    <row r="1364" ht="15.75" customHeight="1">
      <c r="A1364" s="298"/>
      <c r="B1364" s="299"/>
      <c r="C1364" s="299"/>
      <c r="D1364" s="299"/>
      <c r="E1364" s="300"/>
      <c r="F1364" s="299"/>
      <c r="G1364" s="299"/>
      <c r="H1364" s="301"/>
      <c r="I1364" s="301"/>
      <c r="J1364" s="301"/>
      <c r="K1364" s="301"/>
      <c r="L1364" s="299"/>
      <c r="M1364" s="299"/>
      <c r="N1364" s="299"/>
      <c r="O1364" s="299"/>
      <c r="P1364" s="299"/>
      <c r="Q1364" s="299"/>
      <c r="R1364" s="299"/>
      <c r="S1364" s="299"/>
      <c r="T1364" s="59"/>
      <c r="U1364" s="59"/>
      <c r="V1364" s="59"/>
      <c r="W1364" s="59"/>
      <c r="X1364" s="59"/>
      <c r="Y1364" s="59"/>
      <c r="Z1364" s="59"/>
      <c r="AA1364" s="59"/>
      <c r="AB1364" s="59"/>
      <c r="AC1364" s="59"/>
    </row>
    <row r="1365" ht="15.75" customHeight="1">
      <c r="A1365" s="298"/>
      <c r="B1365" s="299"/>
      <c r="C1365" s="299"/>
      <c r="D1365" s="299"/>
      <c r="E1365" s="300"/>
      <c r="F1365" s="299"/>
      <c r="G1365" s="299"/>
      <c r="H1365" s="301"/>
      <c r="I1365" s="301"/>
      <c r="J1365" s="301"/>
      <c r="K1365" s="301"/>
      <c r="L1365" s="299"/>
      <c r="M1365" s="299"/>
      <c r="N1365" s="299"/>
      <c r="O1365" s="299"/>
      <c r="P1365" s="299"/>
      <c r="Q1365" s="299"/>
      <c r="R1365" s="299"/>
      <c r="S1365" s="299"/>
      <c r="T1365" s="59"/>
      <c r="U1365" s="59"/>
      <c r="V1365" s="59"/>
      <c r="W1365" s="59"/>
      <c r="X1365" s="59"/>
      <c r="Y1365" s="59"/>
      <c r="Z1365" s="59"/>
      <c r="AA1365" s="59"/>
      <c r="AB1365" s="59"/>
      <c r="AC1365" s="59"/>
    </row>
    <row r="1366" ht="15.75" customHeight="1">
      <c r="A1366" s="298"/>
      <c r="B1366" s="299"/>
      <c r="C1366" s="299"/>
      <c r="D1366" s="299"/>
      <c r="E1366" s="300"/>
      <c r="F1366" s="299"/>
      <c r="G1366" s="299"/>
      <c r="H1366" s="301"/>
      <c r="I1366" s="301"/>
      <c r="J1366" s="301"/>
      <c r="K1366" s="301"/>
      <c r="L1366" s="299"/>
      <c r="M1366" s="299"/>
      <c r="N1366" s="299"/>
      <c r="O1366" s="299"/>
      <c r="P1366" s="299"/>
      <c r="Q1366" s="299"/>
      <c r="R1366" s="299"/>
      <c r="S1366" s="299"/>
      <c r="T1366" s="59"/>
      <c r="U1366" s="59"/>
      <c r="V1366" s="59"/>
      <c r="W1366" s="59"/>
      <c r="X1366" s="59"/>
      <c r="Y1366" s="59"/>
      <c r="Z1366" s="59"/>
      <c r="AA1366" s="59"/>
      <c r="AB1366" s="59"/>
      <c r="AC1366" s="59"/>
    </row>
    <row r="1367" ht="15.75" customHeight="1">
      <c r="A1367" s="298"/>
      <c r="B1367" s="299"/>
      <c r="C1367" s="299"/>
      <c r="D1367" s="299"/>
      <c r="E1367" s="300"/>
      <c r="F1367" s="299"/>
      <c r="G1367" s="299"/>
      <c r="H1367" s="301"/>
      <c r="I1367" s="301"/>
      <c r="J1367" s="301"/>
      <c r="K1367" s="301"/>
      <c r="L1367" s="299"/>
      <c r="M1367" s="299"/>
      <c r="N1367" s="299"/>
      <c r="O1367" s="299"/>
      <c r="P1367" s="299"/>
      <c r="Q1367" s="299"/>
      <c r="R1367" s="299"/>
      <c r="S1367" s="299"/>
      <c r="T1367" s="59"/>
      <c r="U1367" s="59"/>
      <c r="V1367" s="59"/>
      <c r="W1367" s="59"/>
      <c r="X1367" s="59"/>
      <c r="Y1367" s="59"/>
      <c r="Z1367" s="59"/>
      <c r="AA1367" s="59"/>
      <c r="AB1367" s="59"/>
      <c r="AC1367" s="59"/>
    </row>
    <row r="1368" ht="15.75" customHeight="1">
      <c r="A1368" s="298"/>
      <c r="B1368" s="299"/>
      <c r="C1368" s="299"/>
      <c r="D1368" s="299"/>
      <c r="E1368" s="300"/>
      <c r="F1368" s="299"/>
      <c r="G1368" s="299"/>
      <c r="H1368" s="301"/>
      <c r="I1368" s="301"/>
      <c r="J1368" s="301"/>
      <c r="K1368" s="301"/>
      <c r="L1368" s="299"/>
      <c r="M1368" s="299"/>
      <c r="N1368" s="299"/>
      <c r="O1368" s="299"/>
      <c r="P1368" s="299"/>
      <c r="Q1368" s="299"/>
      <c r="R1368" s="299"/>
      <c r="S1368" s="299"/>
      <c r="T1368" s="59"/>
      <c r="U1368" s="59"/>
      <c r="V1368" s="59"/>
      <c r="W1368" s="59"/>
      <c r="X1368" s="59"/>
      <c r="Y1368" s="59"/>
      <c r="Z1368" s="59"/>
      <c r="AA1368" s="59"/>
      <c r="AB1368" s="59"/>
      <c r="AC1368" s="59"/>
    </row>
    <row r="1369" ht="15.75" customHeight="1">
      <c r="A1369" s="298"/>
      <c r="B1369" s="299"/>
      <c r="C1369" s="299"/>
      <c r="D1369" s="299"/>
      <c r="E1369" s="300"/>
      <c r="F1369" s="299"/>
      <c r="G1369" s="299"/>
      <c r="H1369" s="301"/>
      <c r="I1369" s="301"/>
      <c r="J1369" s="301"/>
      <c r="K1369" s="301"/>
      <c r="L1369" s="299"/>
      <c r="M1369" s="299"/>
      <c r="N1369" s="299"/>
      <c r="O1369" s="299"/>
      <c r="P1369" s="299"/>
      <c r="Q1369" s="299"/>
      <c r="R1369" s="299"/>
      <c r="S1369" s="299"/>
      <c r="T1369" s="59"/>
      <c r="U1369" s="59"/>
      <c r="V1369" s="59"/>
      <c r="W1369" s="59"/>
      <c r="X1369" s="59"/>
      <c r="Y1369" s="59"/>
      <c r="Z1369" s="59"/>
      <c r="AA1369" s="59"/>
      <c r="AB1369" s="59"/>
      <c r="AC1369" s="59"/>
    </row>
    <row r="1370" ht="15.75" customHeight="1">
      <c r="A1370" s="298"/>
      <c r="B1370" s="299"/>
      <c r="C1370" s="299"/>
      <c r="D1370" s="299"/>
      <c r="E1370" s="300"/>
      <c r="F1370" s="299"/>
      <c r="G1370" s="299"/>
      <c r="H1370" s="301"/>
      <c r="I1370" s="301"/>
      <c r="J1370" s="301"/>
      <c r="K1370" s="301"/>
      <c r="L1370" s="299"/>
      <c r="M1370" s="299"/>
      <c r="N1370" s="299"/>
      <c r="O1370" s="299"/>
      <c r="P1370" s="299"/>
      <c r="Q1370" s="299"/>
      <c r="R1370" s="299"/>
      <c r="S1370" s="299"/>
      <c r="T1370" s="59"/>
      <c r="U1370" s="59"/>
      <c r="V1370" s="59"/>
      <c r="W1370" s="59"/>
      <c r="X1370" s="59"/>
      <c r="Y1370" s="59"/>
      <c r="Z1370" s="59"/>
      <c r="AA1370" s="59"/>
      <c r="AB1370" s="59"/>
      <c r="AC1370" s="59"/>
    </row>
    <row r="1371" ht="15.75" customHeight="1">
      <c r="A1371" s="298"/>
      <c r="B1371" s="299"/>
      <c r="C1371" s="299"/>
      <c r="D1371" s="299"/>
      <c r="E1371" s="300"/>
      <c r="F1371" s="299"/>
      <c r="G1371" s="299"/>
      <c r="H1371" s="301"/>
      <c r="I1371" s="301"/>
      <c r="J1371" s="301"/>
      <c r="K1371" s="301"/>
      <c r="L1371" s="299"/>
      <c r="M1371" s="299"/>
      <c r="N1371" s="299"/>
      <c r="O1371" s="299"/>
      <c r="P1371" s="299"/>
      <c r="Q1371" s="299"/>
      <c r="R1371" s="299"/>
      <c r="S1371" s="299"/>
      <c r="T1371" s="59"/>
      <c r="U1371" s="59"/>
      <c r="V1371" s="59"/>
      <c r="W1371" s="59"/>
      <c r="X1371" s="59"/>
      <c r="Y1371" s="59"/>
      <c r="Z1371" s="59"/>
      <c r="AA1371" s="59"/>
      <c r="AB1371" s="59"/>
      <c r="AC1371" s="59"/>
    </row>
    <row r="1372" ht="15.75" customHeight="1">
      <c r="A1372" s="298"/>
      <c r="B1372" s="299"/>
      <c r="C1372" s="299"/>
      <c r="D1372" s="299"/>
      <c r="E1372" s="300"/>
      <c r="F1372" s="299"/>
      <c r="G1372" s="299"/>
      <c r="H1372" s="301"/>
      <c r="I1372" s="301"/>
      <c r="J1372" s="301"/>
      <c r="K1372" s="301"/>
      <c r="L1372" s="299"/>
      <c r="M1372" s="299"/>
      <c r="N1372" s="299"/>
      <c r="O1372" s="299"/>
      <c r="P1372" s="299"/>
      <c r="Q1372" s="299"/>
      <c r="R1372" s="299"/>
      <c r="S1372" s="299"/>
      <c r="T1372" s="59"/>
      <c r="U1372" s="59"/>
      <c r="V1372" s="59"/>
      <c r="W1372" s="59"/>
      <c r="X1372" s="59"/>
      <c r="Y1372" s="59"/>
      <c r="Z1372" s="59"/>
      <c r="AA1372" s="59"/>
      <c r="AB1372" s="59"/>
      <c r="AC1372" s="59"/>
    </row>
    <row r="1373" ht="15.75" customHeight="1">
      <c r="A1373" s="298"/>
      <c r="B1373" s="299"/>
      <c r="C1373" s="299"/>
      <c r="D1373" s="299"/>
      <c r="E1373" s="300"/>
      <c r="F1373" s="299"/>
      <c r="G1373" s="299"/>
      <c r="H1373" s="301"/>
      <c r="I1373" s="301"/>
      <c r="J1373" s="301"/>
      <c r="K1373" s="301"/>
      <c r="L1373" s="299"/>
      <c r="M1373" s="299"/>
      <c r="N1373" s="299"/>
      <c r="O1373" s="299"/>
      <c r="P1373" s="299"/>
      <c r="Q1373" s="299"/>
      <c r="R1373" s="299"/>
      <c r="S1373" s="299"/>
      <c r="T1373" s="59"/>
      <c r="U1373" s="59"/>
      <c r="V1373" s="59"/>
      <c r="W1373" s="59"/>
      <c r="X1373" s="59"/>
      <c r="Y1373" s="59"/>
      <c r="Z1373" s="59"/>
      <c r="AA1373" s="59"/>
      <c r="AB1373" s="59"/>
      <c r="AC1373" s="59"/>
    </row>
    <row r="1374" ht="15.75" customHeight="1">
      <c r="A1374" s="298"/>
      <c r="B1374" s="299"/>
      <c r="C1374" s="299"/>
      <c r="D1374" s="299"/>
      <c r="E1374" s="300"/>
      <c r="F1374" s="299"/>
      <c r="G1374" s="299"/>
      <c r="H1374" s="301"/>
      <c r="I1374" s="301"/>
      <c r="J1374" s="301"/>
      <c r="K1374" s="301"/>
      <c r="L1374" s="299"/>
      <c r="M1374" s="299"/>
      <c r="N1374" s="299"/>
      <c r="O1374" s="299"/>
      <c r="P1374" s="299"/>
      <c r="Q1374" s="299"/>
      <c r="R1374" s="299"/>
      <c r="S1374" s="299"/>
      <c r="T1374" s="59"/>
      <c r="U1374" s="59"/>
      <c r="V1374" s="59"/>
      <c r="W1374" s="59"/>
      <c r="X1374" s="59"/>
      <c r="Y1374" s="59"/>
      <c r="Z1374" s="59"/>
      <c r="AA1374" s="59"/>
      <c r="AB1374" s="59"/>
      <c r="AC1374" s="59"/>
    </row>
    <row r="1375" ht="15.75" customHeight="1">
      <c r="A1375" s="298"/>
      <c r="B1375" s="299"/>
      <c r="C1375" s="299"/>
      <c r="D1375" s="299"/>
      <c r="E1375" s="300"/>
      <c r="F1375" s="299"/>
      <c r="G1375" s="299"/>
      <c r="H1375" s="301"/>
      <c r="I1375" s="301"/>
      <c r="J1375" s="301"/>
      <c r="K1375" s="301"/>
      <c r="L1375" s="299"/>
      <c r="M1375" s="299"/>
      <c r="N1375" s="299"/>
      <c r="O1375" s="299"/>
      <c r="P1375" s="299"/>
      <c r="Q1375" s="299"/>
      <c r="R1375" s="299"/>
      <c r="S1375" s="299"/>
      <c r="T1375" s="59"/>
      <c r="U1375" s="59"/>
      <c r="V1375" s="59"/>
      <c r="W1375" s="59"/>
      <c r="X1375" s="59"/>
      <c r="Y1375" s="59"/>
      <c r="Z1375" s="59"/>
      <c r="AA1375" s="59"/>
      <c r="AB1375" s="59"/>
      <c r="AC1375" s="59"/>
    </row>
    <row r="1376" ht="15.75" customHeight="1">
      <c r="A1376" s="298"/>
      <c r="B1376" s="299"/>
      <c r="C1376" s="299"/>
      <c r="D1376" s="299"/>
      <c r="E1376" s="300"/>
      <c r="F1376" s="299"/>
      <c r="G1376" s="299"/>
      <c r="H1376" s="301"/>
      <c r="I1376" s="301"/>
      <c r="J1376" s="301"/>
      <c r="K1376" s="301"/>
      <c r="L1376" s="299"/>
      <c r="M1376" s="299"/>
      <c r="N1376" s="299"/>
      <c r="O1376" s="299"/>
      <c r="P1376" s="299"/>
      <c r="Q1376" s="299"/>
      <c r="R1376" s="299"/>
      <c r="S1376" s="299"/>
      <c r="T1376" s="59"/>
      <c r="U1376" s="59"/>
      <c r="V1376" s="59"/>
      <c r="W1376" s="59"/>
      <c r="X1376" s="59"/>
      <c r="Y1376" s="59"/>
      <c r="Z1376" s="59"/>
      <c r="AA1376" s="59"/>
      <c r="AB1376" s="59"/>
      <c r="AC1376" s="59"/>
    </row>
    <row r="1377" ht="15.75" customHeight="1">
      <c r="A1377" s="298"/>
      <c r="B1377" s="299"/>
      <c r="C1377" s="299"/>
      <c r="D1377" s="299"/>
      <c r="E1377" s="300"/>
      <c r="F1377" s="299"/>
      <c r="G1377" s="299"/>
      <c r="H1377" s="301"/>
      <c r="I1377" s="301"/>
      <c r="J1377" s="301"/>
      <c r="K1377" s="301"/>
      <c r="L1377" s="299"/>
      <c r="M1377" s="299"/>
      <c r="N1377" s="299"/>
      <c r="O1377" s="299"/>
      <c r="P1377" s="299"/>
      <c r="Q1377" s="299"/>
      <c r="R1377" s="299"/>
      <c r="S1377" s="299"/>
      <c r="T1377" s="59"/>
      <c r="U1377" s="59"/>
      <c r="V1377" s="59"/>
      <c r="W1377" s="59"/>
      <c r="X1377" s="59"/>
      <c r="Y1377" s="59"/>
      <c r="Z1377" s="59"/>
      <c r="AA1377" s="59"/>
      <c r="AB1377" s="59"/>
      <c r="AC1377" s="59"/>
    </row>
    <row r="1378" ht="15.75" customHeight="1">
      <c r="A1378" s="298"/>
      <c r="B1378" s="299"/>
      <c r="C1378" s="299"/>
      <c r="D1378" s="299"/>
      <c r="E1378" s="300"/>
      <c r="F1378" s="299"/>
      <c r="G1378" s="299"/>
      <c r="H1378" s="301"/>
      <c r="I1378" s="301"/>
      <c r="J1378" s="301"/>
      <c r="K1378" s="301"/>
      <c r="L1378" s="299"/>
      <c r="M1378" s="299"/>
      <c r="N1378" s="299"/>
      <c r="O1378" s="299"/>
      <c r="P1378" s="299"/>
      <c r="Q1378" s="299"/>
      <c r="R1378" s="299"/>
      <c r="S1378" s="299"/>
      <c r="T1378" s="59"/>
      <c r="U1378" s="59"/>
      <c r="V1378" s="59"/>
      <c r="W1378" s="59"/>
      <c r="X1378" s="59"/>
      <c r="Y1378" s="59"/>
      <c r="Z1378" s="59"/>
      <c r="AA1378" s="59"/>
      <c r="AB1378" s="59"/>
      <c r="AC1378" s="59"/>
    </row>
    <row r="1379" ht="15.75" customHeight="1">
      <c r="A1379" s="298"/>
      <c r="B1379" s="299"/>
      <c r="C1379" s="299"/>
      <c r="D1379" s="299"/>
      <c r="E1379" s="300"/>
      <c r="F1379" s="299"/>
      <c r="G1379" s="299"/>
      <c r="H1379" s="301"/>
      <c r="I1379" s="301"/>
      <c r="J1379" s="301"/>
      <c r="K1379" s="301"/>
      <c r="L1379" s="299"/>
      <c r="M1379" s="299"/>
      <c r="N1379" s="299"/>
      <c r="O1379" s="299"/>
      <c r="P1379" s="299"/>
      <c r="Q1379" s="299"/>
      <c r="R1379" s="299"/>
      <c r="S1379" s="299"/>
      <c r="T1379" s="59"/>
      <c r="U1379" s="59"/>
      <c r="V1379" s="59"/>
      <c r="W1379" s="59"/>
      <c r="X1379" s="59"/>
      <c r="Y1379" s="59"/>
      <c r="Z1379" s="59"/>
      <c r="AA1379" s="59"/>
      <c r="AB1379" s="59"/>
      <c r="AC1379" s="59"/>
    </row>
    <row r="1380" ht="15.75" customHeight="1">
      <c r="A1380" s="298"/>
      <c r="B1380" s="299"/>
      <c r="C1380" s="299"/>
      <c r="D1380" s="299"/>
      <c r="E1380" s="300"/>
      <c r="F1380" s="299"/>
      <c r="G1380" s="299"/>
      <c r="H1380" s="301"/>
      <c r="I1380" s="301"/>
      <c r="J1380" s="301"/>
      <c r="K1380" s="301"/>
      <c r="L1380" s="299"/>
      <c r="M1380" s="299"/>
      <c r="N1380" s="299"/>
      <c r="O1380" s="299"/>
      <c r="P1380" s="299"/>
      <c r="Q1380" s="299"/>
      <c r="R1380" s="299"/>
      <c r="S1380" s="299"/>
      <c r="T1380" s="59"/>
      <c r="U1380" s="59"/>
      <c r="V1380" s="59"/>
      <c r="W1380" s="59"/>
      <c r="X1380" s="59"/>
      <c r="Y1380" s="59"/>
      <c r="Z1380" s="59"/>
      <c r="AA1380" s="59"/>
      <c r="AB1380" s="59"/>
      <c r="AC1380" s="59"/>
    </row>
    <row r="1381" ht="15.75" customHeight="1">
      <c r="A1381" s="298"/>
      <c r="B1381" s="299"/>
      <c r="C1381" s="299"/>
      <c r="D1381" s="299"/>
      <c r="E1381" s="300"/>
      <c r="F1381" s="299"/>
      <c r="G1381" s="299"/>
      <c r="H1381" s="301"/>
      <c r="I1381" s="301"/>
      <c r="J1381" s="301"/>
      <c r="K1381" s="301"/>
      <c r="L1381" s="299"/>
      <c r="M1381" s="299"/>
      <c r="N1381" s="299"/>
      <c r="O1381" s="299"/>
      <c r="P1381" s="299"/>
      <c r="Q1381" s="299"/>
      <c r="R1381" s="299"/>
      <c r="S1381" s="299"/>
      <c r="T1381" s="59"/>
      <c r="U1381" s="59"/>
      <c r="V1381" s="59"/>
      <c r="W1381" s="59"/>
      <c r="X1381" s="59"/>
      <c r="Y1381" s="59"/>
      <c r="Z1381" s="59"/>
      <c r="AA1381" s="59"/>
      <c r="AB1381" s="59"/>
      <c r="AC1381" s="59"/>
    </row>
    <row r="1382" ht="15.75" customHeight="1">
      <c r="A1382" s="298"/>
      <c r="B1382" s="299"/>
      <c r="C1382" s="299"/>
      <c r="D1382" s="299"/>
      <c r="E1382" s="300"/>
      <c r="F1382" s="299"/>
      <c r="G1382" s="299"/>
      <c r="H1382" s="301"/>
      <c r="I1382" s="301"/>
      <c r="J1382" s="301"/>
      <c r="K1382" s="301"/>
      <c r="L1382" s="299"/>
      <c r="M1382" s="299"/>
      <c r="N1382" s="299"/>
      <c r="O1382" s="299"/>
      <c r="P1382" s="299"/>
      <c r="Q1382" s="299"/>
      <c r="R1382" s="299"/>
      <c r="S1382" s="299"/>
      <c r="T1382" s="59"/>
      <c r="U1382" s="59"/>
      <c r="V1382" s="59"/>
      <c r="W1382" s="59"/>
      <c r="X1382" s="59"/>
      <c r="Y1382" s="59"/>
      <c r="Z1382" s="59"/>
      <c r="AA1382" s="59"/>
      <c r="AB1382" s="59"/>
      <c r="AC1382" s="59"/>
    </row>
    <row r="1383" ht="15.75" customHeight="1">
      <c r="A1383" s="298"/>
      <c r="B1383" s="299"/>
      <c r="C1383" s="299"/>
      <c r="D1383" s="299"/>
      <c r="E1383" s="300"/>
      <c r="F1383" s="299"/>
      <c r="G1383" s="299"/>
      <c r="H1383" s="301"/>
      <c r="I1383" s="301"/>
      <c r="J1383" s="301"/>
      <c r="K1383" s="301"/>
      <c r="L1383" s="299"/>
      <c r="M1383" s="299"/>
      <c r="N1383" s="299"/>
      <c r="O1383" s="299"/>
      <c r="P1383" s="299"/>
      <c r="Q1383" s="299"/>
      <c r="R1383" s="299"/>
      <c r="S1383" s="299"/>
      <c r="T1383" s="59"/>
      <c r="U1383" s="59"/>
      <c r="V1383" s="59"/>
      <c r="W1383" s="59"/>
      <c r="X1383" s="59"/>
      <c r="Y1383" s="59"/>
      <c r="Z1383" s="59"/>
      <c r="AA1383" s="59"/>
      <c r="AB1383" s="59"/>
      <c r="AC1383" s="59"/>
    </row>
    <row r="1384" ht="15.75" customHeight="1">
      <c r="A1384" s="298"/>
      <c r="B1384" s="299"/>
      <c r="C1384" s="299"/>
      <c r="D1384" s="299"/>
      <c r="E1384" s="300"/>
      <c r="F1384" s="299"/>
      <c r="G1384" s="299"/>
      <c r="H1384" s="301"/>
      <c r="I1384" s="301"/>
      <c r="J1384" s="301"/>
      <c r="K1384" s="301"/>
      <c r="L1384" s="299"/>
      <c r="M1384" s="299"/>
      <c r="N1384" s="299"/>
      <c r="O1384" s="299"/>
      <c r="P1384" s="299"/>
      <c r="Q1384" s="299"/>
      <c r="R1384" s="299"/>
      <c r="S1384" s="299"/>
      <c r="T1384" s="59"/>
      <c r="U1384" s="59"/>
      <c r="V1384" s="59"/>
      <c r="W1384" s="59"/>
      <c r="X1384" s="59"/>
      <c r="Y1384" s="59"/>
      <c r="Z1384" s="59"/>
      <c r="AA1384" s="59"/>
      <c r="AB1384" s="59"/>
      <c r="AC1384" s="59"/>
    </row>
    <row r="1385" ht="15.75" customHeight="1">
      <c r="A1385" s="298"/>
      <c r="B1385" s="299"/>
      <c r="C1385" s="299"/>
      <c r="D1385" s="299"/>
      <c r="E1385" s="300"/>
      <c r="F1385" s="299"/>
      <c r="G1385" s="299"/>
      <c r="H1385" s="301"/>
      <c r="I1385" s="301"/>
      <c r="J1385" s="301"/>
      <c r="K1385" s="301"/>
      <c r="L1385" s="299"/>
      <c r="M1385" s="299"/>
      <c r="N1385" s="299"/>
      <c r="O1385" s="299"/>
      <c r="P1385" s="299"/>
      <c r="Q1385" s="299"/>
      <c r="R1385" s="299"/>
      <c r="S1385" s="299"/>
      <c r="T1385" s="59"/>
      <c r="U1385" s="59"/>
      <c r="V1385" s="59"/>
      <c r="W1385" s="59"/>
      <c r="X1385" s="59"/>
      <c r="Y1385" s="59"/>
      <c r="Z1385" s="59"/>
      <c r="AA1385" s="59"/>
      <c r="AB1385" s="59"/>
      <c r="AC1385" s="59"/>
    </row>
    <row r="1386" ht="15.75" customHeight="1">
      <c r="A1386" s="298"/>
      <c r="B1386" s="299"/>
      <c r="C1386" s="299"/>
      <c r="D1386" s="299"/>
      <c r="E1386" s="300"/>
      <c r="F1386" s="299"/>
      <c r="G1386" s="299"/>
      <c r="H1386" s="301"/>
      <c r="I1386" s="301"/>
      <c r="J1386" s="301"/>
      <c r="K1386" s="301"/>
      <c r="L1386" s="299"/>
      <c r="M1386" s="299"/>
      <c r="N1386" s="299"/>
      <c r="O1386" s="299"/>
      <c r="P1386" s="299"/>
      <c r="Q1386" s="299"/>
      <c r="R1386" s="299"/>
      <c r="S1386" s="299"/>
      <c r="T1386" s="59"/>
      <c r="U1386" s="59"/>
      <c r="V1386" s="59"/>
      <c r="W1386" s="59"/>
      <c r="X1386" s="59"/>
      <c r="Y1386" s="59"/>
      <c r="Z1386" s="59"/>
      <c r="AA1386" s="59"/>
      <c r="AB1386" s="59"/>
      <c r="AC1386" s="59"/>
    </row>
    <row r="1387" ht="15.75" customHeight="1">
      <c r="A1387" s="298"/>
      <c r="B1387" s="299"/>
      <c r="C1387" s="299"/>
      <c r="D1387" s="299"/>
      <c r="E1387" s="300"/>
      <c r="F1387" s="299"/>
      <c r="G1387" s="299"/>
      <c r="H1387" s="301"/>
      <c r="I1387" s="301"/>
      <c r="J1387" s="301"/>
      <c r="K1387" s="301"/>
      <c r="L1387" s="299"/>
      <c r="M1387" s="299"/>
      <c r="N1387" s="299"/>
      <c r="O1387" s="299"/>
      <c r="P1387" s="299"/>
      <c r="Q1387" s="299"/>
      <c r="R1387" s="299"/>
      <c r="S1387" s="299"/>
      <c r="T1387" s="59"/>
      <c r="U1387" s="59"/>
      <c r="V1387" s="59"/>
      <c r="W1387" s="59"/>
      <c r="X1387" s="59"/>
      <c r="Y1387" s="59"/>
      <c r="Z1387" s="59"/>
      <c r="AA1387" s="59"/>
      <c r="AB1387" s="59"/>
      <c r="AC1387" s="59"/>
    </row>
    <row r="1388" ht="15.75" customHeight="1">
      <c r="A1388" s="298"/>
      <c r="B1388" s="299"/>
      <c r="C1388" s="299"/>
      <c r="D1388" s="299"/>
      <c r="E1388" s="300"/>
      <c r="F1388" s="299"/>
      <c r="G1388" s="299"/>
      <c r="H1388" s="301"/>
      <c r="I1388" s="301"/>
      <c r="J1388" s="301"/>
      <c r="K1388" s="301"/>
      <c r="L1388" s="299"/>
      <c r="M1388" s="299"/>
      <c r="N1388" s="299"/>
      <c r="O1388" s="299"/>
      <c r="P1388" s="299"/>
      <c r="Q1388" s="299"/>
      <c r="R1388" s="299"/>
      <c r="S1388" s="299"/>
      <c r="T1388" s="59"/>
      <c r="U1388" s="59"/>
      <c r="V1388" s="59"/>
      <c r="W1388" s="59"/>
      <c r="X1388" s="59"/>
      <c r="Y1388" s="59"/>
      <c r="Z1388" s="59"/>
      <c r="AA1388" s="59"/>
      <c r="AB1388" s="59"/>
      <c r="AC1388" s="59"/>
    </row>
    <row r="1389" ht="15.75" customHeight="1">
      <c r="A1389" s="298"/>
      <c r="B1389" s="299"/>
      <c r="C1389" s="299"/>
      <c r="D1389" s="299"/>
      <c r="E1389" s="300"/>
      <c r="F1389" s="299"/>
      <c r="G1389" s="299"/>
      <c r="H1389" s="301"/>
      <c r="I1389" s="301"/>
      <c r="J1389" s="301"/>
      <c r="K1389" s="301"/>
      <c r="L1389" s="299"/>
      <c r="M1389" s="299"/>
      <c r="N1389" s="299"/>
      <c r="O1389" s="299"/>
      <c r="P1389" s="299"/>
      <c r="Q1389" s="299"/>
      <c r="R1389" s="299"/>
      <c r="S1389" s="299"/>
      <c r="T1389" s="59"/>
      <c r="U1389" s="59"/>
      <c r="V1389" s="59"/>
      <c r="W1389" s="59"/>
      <c r="X1389" s="59"/>
      <c r="Y1389" s="59"/>
      <c r="Z1389" s="59"/>
      <c r="AA1389" s="59"/>
      <c r="AB1389" s="59"/>
      <c r="AC1389" s="59"/>
    </row>
    <row r="1390" ht="15.75" customHeight="1">
      <c r="A1390" s="298"/>
      <c r="B1390" s="299"/>
      <c r="C1390" s="299"/>
      <c r="D1390" s="299"/>
      <c r="E1390" s="300"/>
      <c r="F1390" s="299"/>
      <c r="G1390" s="299"/>
      <c r="H1390" s="301"/>
      <c r="I1390" s="301"/>
      <c r="J1390" s="301"/>
      <c r="K1390" s="301"/>
      <c r="L1390" s="299"/>
      <c r="M1390" s="299"/>
      <c r="N1390" s="299"/>
      <c r="O1390" s="299"/>
      <c r="P1390" s="299"/>
      <c r="Q1390" s="299"/>
      <c r="R1390" s="299"/>
      <c r="S1390" s="299"/>
      <c r="T1390" s="59"/>
      <c r="U1390" s="59"/>
      <c r="V1390" s="59"/>
      <c r="W1390" s="59"/>
      <c r="X1390" s="59"/>
      <c r="Y1390" s="59"/>
      <c r="Z1390" s="59"/>
      <c r="AA1390" s="59"/>
      <c r="AB1390" s="59"/>
      <c r="AC1390" s="59"/>
    </row>
    <row r="1391" ht="15.75" customHeight="1">
      <c r="A1391" s="298"/>
      <c r="B1391" s="299"/>
      <c r="C1391" s="299"/>
      <c r="D1391" s="299"/>
      <c r="E1391" s="300"/>
      <c r="F1391" s="299"/>
      <c r="G1391" s="299"/>
      <c r="H1391" s="301"/>
      <c r="I1391" s="301"/>
      <c r="J1391" s="301"/>
      <c r="K1391" s="301"/>
      <c r="L1391" s="299"/>
      <c r="M1391" s="299"/>
      <c r="N1391" s="299"/>
      <c r="O1391" s="299"/>
      <c r="P1391" s="299"/>
      <c r="Q1391" s="299"/>
      <c r="R1391" s="299"/>
      <c r="S1391" s="299"/>
      <c r="T1391" s="59"/>
      <c r="U1391" s="59"/>
      <c r="V1391" s="59"/>
      <c r="W1391" s="59"/>
      <c r="X1391" s="59"/>
      <c r="Y1391" s="59"/>
      <c r="Z1391" s="59"/>
      <c r="AA1391" s="59"/>
      <c r="AB1391" s="59"/>
      <c r="AC1391" s="59"/>
    </row>
    <row r="1392" ht="15.75" customHeight="1">
      <c r="A1392" s="298"/>
      <c r="B1392" s="299"/>
      <c r="C1392" s="299"/>
      <c r="D1392" s="299"/>
      <c r="E1392" s="300"/>
      <c r="F1392" s="299"/>
      <c r="G1392" s="299"/>
      <c r="H1392" s="301"/>
      <c r="I1392" s="301"/>
      <c r="J1392" s="301"/>
      <c r="K1392" s="301"/>
      <c r="L1392" s="299"/>
      <c r="M1392" s="299"/>
      <c r="N1392" s="299"/>
      <c r="O1392" s="299"/>
      <c r="P1392" s="299"/>
      <c r="Q1392" s="299"/>
      <c r="R1392" s="299"/>
      <c r="S1392" s="299"/>
      <c r="T1392" s="59"/>
      <c r="U1392" s="59"/>
      <c r="V1392" s="59"/>
      <c r="W1392" s="59"/>
      <c r="X1392" s="59"/>
      <c r="Y1392" s="59"/>
      <c r="Z1392" s="59"/>
      <c r="AA1392" s="59"/>
      <c r="AB1392" s="59"/>
      <c r="AC1392" s="59"/>
    </row>
    <row r="1393" ht="15.75" customHeight="1">
      <c r="A1393" s="298"/>
      <c r="B1393" s="299"/>
      <c r="C1393" s="299"/>
      <c r="D1393" s="299"/>
      <c r="E1393" s="300"/>
      <c r="F1393" s="299"/>
      <c r="G1393" s="299"/>
      <c r="H1393" s="301"/>
      <c r="I1393" s="301"/>
      <c r="J1393" s="301"/>
      <c r="K1393" s="301"/>
      <c r="L1393" s="299"/>
      <c r="M1393" s="299"/>
      <c r="N1393" s="299"/>
      <c r="O1393" s="299"/>
      <c r="P1393" s="299"/>
      <c r="Q1393" s="299"/>
      <c r="R1393" s="299"/>
      <c r="S1393" s="299"/>
      <c r="T1393" s="59"/>
      <c r="U1393" s="59"/>
      <c r="V1393" s="59"/>
      <c r="W1393" s="59"/>
      <c r="X1393" s="59"/>
      <c r="Y1393" s="59"/>
      <c r="Z1393" s="59"/>
      <c r="AA1393" s="59"/>
      <c r="AB1393" s="59"/>
      <c r="AC1393" s="59"/>
    </row>
    <row r="1394" ht="15.75" customHeight="1">
      <c r="A1394" s="298"/>
      <c r="B1394" s="299"/>
      <c r="C1394" s="299"/>
      <c r="D1394" s="299"/>
      <c r="E1394" s="300"/>
      <c r="F1394" s="299"/>
      <c r="G1394" s="299"/>
      <c r="H1394" s="301"/>
      <c r="I1394" s="301"/>
      <c r="J1394" s="301"/>
      <c r="K1394" s="301"/>
      <c r="L1394" s="299"/>
      <c r="M1394" s="299"/>
      <c r="N1394" s="299"/>
      <c r="O1394" s="299"/>
      <c r="P1394" s="299"/>
      <c r="Q1394" s="299"/>
      <c r="R1394" s="299"/>
      <c r="S1394" s="299"/>
      <c r="T1394" s="59"/>
      <c r="U1394" s="59"/>
      <c r="V1394" s="59"/>
      <c r="W1394" s="59"/>
      <c r="X1394" s="59"/>
      <c r="Y1394" s="59"/>
      <c r="Z1394" s="59"/>
      <c r="AA1394" s="59"/>
      <c r="AB1394" s="59"/>
      <c r="AC1394" s="59"/>
    </row>
    <row r="1395" ht="15.75" customHeight="1">
      <c r="A1395" s="298"/>
      <c r="B1395" s="299"/>
      <c r="C1395" s="299"/>
      <c r="D1395" s="299"/>
      <c r="E1395" s="300"/>
      <c r="F1395" s="299"/>
      <c r="G1395" s="299"/>
      <c r="H1395" s="301"/>
      <c r="I1395" s="301"/>
      <c r="J1395" s="301"/>
      <c r="K1395" s="301"/>
      <c r="L1395" s="299"/>
      <c r="M1395" s="299"/>
      <c r="N1395" s="299"/>
      <c r="O1395" s="299"/>
      <c r="P1395" s="299"/>
      <c r="Q1395" s="299"/>
      <c r="R1395" s="299"/>
      <c r="S1395" s="299"/>
      <c r="T1395" s="59"/>
      <c r="U1395" s="59"/>
      <c r="V1395" s="59"/>
      <c r="W1395" s="59"/>
      <c r="X1395" s="59"/>
      <c r="Y1395" s="59"/>
      <c r="Z1395" s="59"/>
      <c r="AA1395" s="59"/>
      <c r="AB1395" s="59"/>
      <c r="AC1395" s="59"/>
    </row>
    <row r="1396" ht="15.75" customHeight="1">
      <c r="A1396" s="298"/>
      <c r="B1396" s="299"/>
      <c r="C1396" s="299"/>
      <c r="D1396" s="299"/>
      <c r="E1396" s="300"/>
      <c r="F1396" s="299"/>
      <c r="G1396" s="299"/>
      <c r="H1396" s="301"/>
      <c r="I1396" s="301"/>
      <c r="J1396" s="301"/>
      <c r="K1396" s="301"/>
      <c r="L1396" s="299"/>
      <c r="M1396" s="299"/>
      <c r="N1396" s="299"/>
      <c r="O1396" s="299"/>
      <c r="P1396" s="299"/>
      <c r="Q1396" s="299"/>
      <c r="R1396" s="299"/>
      <c r="S1396" s="299"/>
      <c r="T1396" s="59"/>
      <c r="U1396" s="59"/>
      <c r="V1396" s="59"/>
      <c r="W1396" s="59"/>
      <c r="X1396" s="59"/>
      <c r="Y1396" s="59"/>
      <c r="Z1396" s="59"/>
      <c r="AA1396" s="59"/>
      <c r="AB1396" s="59"/>
      <c r="AC1396" s="59"/>
    </row>
    <row r="1397" ht="15.75" customHeight="1">
      <c r="A1397" s="298"/>
      <c r="B1397" s="299"/>
      <c r="C1397" s="299"/>
      <c r="D1397" s="299"/>
      <c r="E1397" s="300"/>
      <c r="F1397" s="299"/>
      <c r="G1397" s="299"/>
      <c r="H1397" s="301"/>
      <c r="I1397" s="301"/>
      <c r="J1397" s="301"/>
      <c r="K1397" s="301"/>
      <c r="L1397" s="299"/>
      <c r="M1397" s="299"/>
      <c r="N1397" s="299"/>
      <c r="O1397" s="299"/>
      <c r="P1397" s="299"/>
      <c r="Q1397" s="299"/>
      <c r="R1397" s="299"/>
      <c r="S1397" s="299"/>
      <c r="T1397" s="59"/>
      <c r="U1397" s="59"/>
      <c r="V1397" s="59"/>
      <c r="W1397" s="59"/>
      <c r="X1397" s="59"/>
      <c r="Y1397" s="59"/>
      <c r="Z1397" s="59"/>
      <c r="AA1397" s="59"/>
      <c r="AB1397" s="59"/>
      <c r="AC1397" s="59"/>
    </row>
    <row r="1398" ht="15.75" customHeight="1">
      <c r="A1398" s="298"/>
      <c r="B1398" s="299"/>
      <c r="C1398" s="299"/>
      <c r="D1398" s="299"/>
      <c r="E1398" s="300"/>
      <c r="F1398" s="299"/>
      <c r="G1398" s="299"/>
      <c r="H1398" s="301"/>
      <c r="I1398" s="301"/>
      <c r="J1398" s="301"/>
      <c r="K1398" s="301"/>
      <c r="L1398" s="299"/>
      <c r="M1398" s="299"/>
      <c r="N1398" s="299"/>
      <c r="O1398" s="299"/>
      <c r="P1398" s="299"/>
      <c r="Q1398" s="299"/>
      <c r="R1398" s="299"/>
      <c r="S1398" s="299"/>
      <c r="T1398" s="59"/>
      <c r="U1398" s="59"/>
      <c r="V1398" s="59"/>
      <c r="W1398" s="59"/>
      <c r="X1398" s="59"/>
      <c r="Y1398" s="59"/>
      <c r="Z1398" s="59"/>
      <c r="AA1398" s="59"/>
      <c r="AB1398" s="59"/>
      <c r="AC1398" s="59"/>
    </row>
    <row r="1399" ht="15.75" customHeight="1">
      <c r="A1399" s="298"/>
      <c r="B1399" s="299"/>
      <c r="C1399" s="299"/>
      <c r="D1399" s="299"/>
      <c r="E1399" s="300"/>
      <c r="F1399" s="299"/>
      <c r="G1399" s="299"/>
      <c r="H1399" s="301"/>
      <c r="I1399" s="301"/>
      <c r="J1399" s="301"/>
      <c r="K1399" s="301"/>
      <c r="L1399" s="299"/>
      <c r="M1399" s="299"/>
      <c r="N1399" s="299"/>
      <c r="O1399" s="299"/>
      <c r="P1399" s="299"/>
      <c r="Q1399" s="299"/>
      <c r="R1399" s="299"/>
      <c r="S1399" s="299"/>
      <c r="T1399" s="59"/>
      <c r="U1399" s="59"/>
      <c r="V1399" s="59"/>
      <c r="W1399" s="59"/>
      <c r="X1399" s="59"/>
      <c r="Y1399" s="59"/>
      <c r="Z1399" s="59"/>
      <c r="AA1399" s="59"/>
      <c r="AB1399" s="59"/>
      <c r="AC1399" s="59"/>
    </row>
    <row r="1400" ht="15.75" customHeight="1">
      <c r="A1400" s="298"/>
      <c r="B1400" s="299"/>
      <c r="C1400" s="299"/>
      <c r="D1400" s="299"/>
      <c r="E1400" s="300"/>
      <c r="F1400" s="299"/>
      <c r="G1400" s="299"/>
      <c r="H1400" s="301"/>
      <c r="I1400" s="301"/>
      <c r="J1400" s="301"/>
      <c r="K1400" s="301"/>
      <c r="L1400" s="299"/>
      <c r="M1400" s="299"/>
      <c r="N1400" s="299"/>
      <c r="O1400" s="299"/>
      <c r="P1400" s="299"/>
      <c r="Q1400" s="299"/>
      <c r="R1400" s="299"/>
      <c r="S1400" s="299"/>
      <c r="T1400" s="59"/>
      <c r="U1400" s="59"/>
      <c r="V1400" s="59"/>
      <c r="W1400" s="59"/>
      <c r="X1400" s="59"/>
      <c r="Y1400" s="59"/>
      <c r="Z1400" s="59"/>
      <c r="AA1400" s="59"/>
      <c r="AB1400" s="59"/>
      <c r="AC1400" s="59"/>
    </row>
    <row r="1401" ht="15.75" customHeight="1">
      <c r="A1401" s="298"/>
      <c r="B1401" s="299"/>
      <c r="C1401" s="299"/>
      <c r="D1401" s="299"/>
      <c r="E1401" s="300"/>
      <c r="F1401" s="299"/>
      <c r="G1401" s="299"/>
      <c r="H1401" s="301"/>
      <c r="I1401" s="301"/>
      <c r="J1401" s="301"/>
      <c r="K1401" s="301"/>
      <c r="L1401" s="299"/>
      <c r="M1401" s="299"/>
      <c r="N1401" s="299"/>
      <c r="O1401" s="299"/>
      <c r="P1401" s="299"/>
      <c r="Q1401" s="299"/>
      <c r="R1401" s="299"/>
      <c r="S1401" s="299"/>
      <c r="T1401" s="59"/>
      <c r="U1401" s="59"/>
      <c r="V1401" s="59"/>
      <c r="W1401" s="59"/>
      <c r="X1401" s="59"/>
      <c r="Y1401" s="59"/>
      <c r="Z1401" s="59"/>
      <c r="AA1401" s="59"/>
      <c r="AB1401" s="59"/>
      <c r="AC1401" s="59"/>
    </row>
    <row r="1402" ht="15.75" customHeight="1">
      <c r="A1402" s="298"/>
      <c r="B1402" s="299"/>
      <c r="C1402" s="299"/>
      <c r="D1402" s="299"/>
      <c r="E1402" s="300"/>
      <c r="F1402" s="299"/>
      <c r="G1402" s="299"/>
      <c r="H1402" s="301"/>
      <c r="I1402" s="301"/>
      <c r="J1402" s="301"/>
      <c r="K1402" s="301"/>
      <c r="L1402" s="299"/>
      <c r="M1402" s="299"/>
      <c r="N1402" s="299"/>
      <c r="O1402" s="299"/>
      <c r="P1402" s="299"/>
      <c r="Q1402" s="299"/>
      <c r="R1402" s="299"/>
      <c r="S1402" s="299"/>
      <c r="T1402" s="59"/>
      <c r="U1402" s="59"/>
      <c r="V1402" s="59"/>
      <c r="W1402" s="59"/>
      <c r="X1402" s="59"/>
      <c r="Y1402" s="59"/>
      <c r="Z1402" s="59"/>
      <c r="AA1402" s="59"/>
      <c r="AB1402" s="59"/>
      <c r="AC1402" s="59"/>
    </row>
    <row r="1403" ht="15.75" customHeight="1">
      <c r="A1403" s="298"/>
      <c r="B1403" s="299"/>
      <c r="C1403" s="299"/>
      <c r="D1403" s="299"/>
      <c r="E1403" s="300"/>
      <c r="F1403" s="299"/>
      <c r="G1403" s="299"/>
      <c r="H1403" s="301"/>
      <c r="I1403" s="301"/>
      <c r="J1403" s="301"/>
      <c r="K1403" s="301"/>
      <c r="L1403" s="299"/>
      <c r="M1403" s="299"/>
      <c r="N1403" s="299"/>
      <c r="O1403" s="299"/>
      <c r="P1403" s="299"/>
      <c r="Q1403" s="299"/>
      <c r="R1403" s="299"/>
      <c r="S1403" s="299"/>
      <c r="T1403" s="59"/>
      <c r="U1403" s="59"/>
      <c r="V1403" s="59"/>
      <c r="W1403" s="59"/>
      <c r="X1403" s="59"/>
      <c r="Y1403" s="59"/>
      <c r="Z1403" s="59"/>
      <c r="AA1403" s="59"/>
      <c r="AB1403" s="59"/>
      <c r="AC1403" s="59"/>
    </row>
    <row r="1404" ht="15.75" customHeight="1">
      <c r="A1404" s="298"/>
      <c r="B1404" s="299"/>
      <c r="C1404" s="299"/>
      <c r="D1404" s="299"/>
      <c r="E1404" s="300"/>
      <c r="F1404" s="299"/>
      <c r="G1404" s="299"/>
      <c r="H1404" s="301"/>
      <c r="I1404" s="301"/>
      <c r="J1404" s="301"/>
      <c r="K1404" s="301"/>
      <c r="L1404" s="299"/>
      <c r="M1404" s="299"/>
      <c r="N1404" s="299"/>
      <c r="O1404" s="299"/>
      <c r="P1404" s="299"/>
      <c r="Q1404" s="299"/>
      <c r="R1404" s="299"/>
      <c r="S1404" s="299"/>
      <c r="T1404" s="59"/>
      <c r="U1404" s="59"/>
      <c r="V1404" s="59"/>
      <c r="W1404" s="59"/>
      <c r="X1404" s="59"/>
      <c r="Y1404" s="59"/>
      <c r="Z1404" s="59"/>
      <c r="AA1404" s="59"/>
      <c r="AB1404" s="59"/>
      <c r="AC1404" s="59"/>
    </row>
    <row r="1405" ht="15.75" customHeight="1">
      <c r="A1405" s="298"/>
      <c r="B1405" s="299"/>
      <c r="C1405" s="299"/>
      <c r="D1405" s="299"/>
      <c r="E1405" s="300"/>
      <c r="F1405" s="299"/>
      <c r="G1405" s="299"/>
      <c r="H1405" s="301"/>
      <c r="I1405" s="301"/>
      <c r="J1405" s="301"/>
      <c r="K1405" s="301"/>
      <c r="L1405" s="299"/>
      <c r="M1405" s="299"/>
      <c r="N1405" s="299"/>
      <c r="O1405" s="299"/>
      <c r="P1405" s="299"/>
      <c r="Q1405" s="299"/>
      <c r="R1405" s="299"/>
      <c r="S1405" s="299"/>
      <c r="T1405" s="59"/>
      <c r="U1405" s="59"/>
      <c r="V1405" s="59"/>
      <c r="W1405" s="59"/>
      <c r="X1405" s="59"/>
      <c r="Y1405" s="59"/>
      <c r="Z1405" s="59"/>
      <c r="AA1405" s="59"/>
      <c r="AB1405" s="59"/>
      <c r="AC1405" s="59"/>
    </row>
    <row r="1406" ht="15.75" customHeight="1">
      <c r="A1406" s="298"/>
      <c r="B1406" s="299"/>
      <c r="C1406" s="299"/>
      <c r="D1406" s="299"/>
      <c r="E1406" s="300"/>
      <c r="F1406" s="299"/>
      <c r="G1406" s="299"/>
      <c r="H1406" s="301"/>
      <c r="I1406" s="301"/>
      <c r="J1406" s="301"/>
      <c r="K1406" s="301"/>
      <c r="L1406" s="299"/>
      <c r="M1406" s="299"/>
      <c r="N1406" s="299"/>
      <c r="O1406" s="299"/>
      <c r="P1406" s="299"/>
      <c r="Q1406" s="299"/>
      <c r="R1406" s="299"/>
      <c r="S1406" s="299"/>
      <c r="T1406" s="59"/>
      <c r="U1406" s="59"/>
      <c r="V1406" s="59"/>
      <c r="W1406" s="59"/>
      <c r="X1406" s="59"/>
      <c r="Y1406" s="59"/>
      <c r="Z1406" s="59"/>
      <c r="AA1406" s="59"/>
      <c r="AB1406" s="59"/>
      <c r="AC1406" s="59"/>
    </row>
    <row r="1407" ht="15.75" customHeight="1">
      <c r="A1407" s="298"/>
      <c r="B1407" s="299"/>
      <c r="C1407" s="299"/>
      <c r="D1407" s="299"/>
      <c r="E1407" s="300"/>
      <c r="F1407" s="299"/>
      <c r="G1407" s="299"/>
      <c r="H1407" s="301"/>
      <c r="I1407" s="301"/>
      <c r="J1407" s="301"/>
      <c r="K1407" s="301"/>
      <c r="L1407" s="299"/>
      <c r="M1407" s="299"/>
      <c r="N1407" s="299"/>
      <c r="O1407" s="299"/>
      <c r="P1407" s="299"/>
      <c r="Q1407" s="299"/>
      <c r="R1407" s="299"/>
      <c r="S1407" s="299"/>
      <c r="T1407" s="59"/>
      <c r="U1407" s="59"/>
      <c r="V1407" s="59"/>
      <c r="W1407" s="59"/>
      <c r="X1407" s="59"/>
      <c r="Y1407" s="59"/>
      <c r="Z1407" s="59"/>
      <c r="AA1407" s="59"/>
      <c r="AB1407" s="59"/>
      <c r="AC1407" s="59"/>
    </row>
    <row r="1408" ht="15.75" customHeight="1">
      <c r="A1408" s="298"/>
      <c r="B1408" s="299"/>
      <c r="C1408" s="299"/>
      <c r="D1408" s="299"/>
      <c r="E1408" s="300"/>
      <c r="F1408" s="299"/>
      <c r="G1408" s="299"/>
      <c r="H1408" s="301"/>
      <c r="I1408" s="301"/>
      <c r="J1408" s="301"/>
      <c r="K1408" s="301"/>
      <c r="L1408" s="299"/>
      <c r="M1408" s="299"/>
      <c r="N1408" s="299"/>
      <c r="O1408" s="299"/>
      <c r="P1408" s="299"/>
      <c r="Q1408" s="299"/>
      <c r="R1408" s="299"/>
      <c r="S1408" s="299"/>
      <c r="T1408" s="59"/>
      <c r="U1408" s="59"/>
      <c r="V1408" s="59"/>
      <c r="W1408" s="59"/>
      <c r="X1408" s="59"/>
      <c r="Y1408" s="59"/>
      <c r="Z1408" s="59"/>
      <c r="AA1408" s="59"/>
      <c r="AB1408" s="59"/>
      <c r="AC1408" s="59"/>
    </row>
    <row r="1409" ht="15.75" customHeight="1">
      <c r="A1409" s="298"/>
      <c r="B1409" s="299"/>
      <c r="C1409" s="299"/>
      <c r="D1409" s="299"/>
      <c r="E1409" s="300"/>
      <c r="F1409" s="299"/>
      <c r="G1409" s="299"/>
      <c r="H1409" s="301"/>
      <c r="I1409" s="301"/>
      <c r="J1409" s="301"/>
      <c r="K1409" s="301"/>
      <c r="L1409" s="299"/>
      <c r="M1409" s="299"/>
      <c r="N1409" s="299"/>
      <c r="O1409" s="299"/>
      <c r="P1409" s="299"/>
      <c r="Q1409" s="299"/>
      <c r="R1409" s="299"/>
      <c r="S1409" s="299"/>
      <c r="T1409" s="59"/>
      <c r="U1409" s="59"/>
      <c r="V1409" s="59"/>
      <c r="W1409" s="59"/>
      <c r="X1409" s="59"/>
      <c r="Y1409" s="59"/>
      <c r="Z1409" s="59"/>
      <c r="AA1409" s="59"/>
      <c r="AB1409" s="59"/>
      <c r="AC1409" s="59"/>
    </row>
    <row r="1410" ht="15.75" customHeight="1">
      <c r="A1410" s="298"/>
      <c r="B1410" s="299"/>
      <c r="C1410" s="299"/>
      <c r="D1410" s="299"/>
      <c r="E1410" s="300"/>
      <c r="F1410" s="299"/>
      <c r="G1410" s="299"/>
      <c r="H1410" s="301"/>
      <c r="I1410" s="301"/>
      <c r="J1410" s="301"/>
      <c r="K1410" s="301"/>
      <c r="L1410" s="299"/>
      <c r="M1410" s="299"/>
      <c r="N1410" s="299"/>
      <c r="O1410" s="299"/>
      <c r="P1410" s="299"/>
      <c r="Q1410" s="299"/>
      <c r="R1410" s="299"/>
      <c r="S1410" s="299"/>
      <c r="T1410" s="59"/>
      <c r="U1410" s="59"/>
      <c r="V1410" s="59"/>
      <c r="W1410" s="59"/>
      <c r="X1410" s="59"/>
      <c r="Y1410" s="59"/>
      <c r="Z1410" s="59"/>
      <c r="AA1410" s="59"/>
      <c r="AB1410" s="59"/>
      <c r="AC1410" s="59"/>
    </row>
    <row r="1411" ht="15.75" customHeight="1">
      <c r="A1411" s="298"/>
      <c r="B1411" s="299"/>
      <c r="C1411" s="299"/>
      <c r="D1411" s="299"/>
      <c r="E1411" s="300"/>
      <c r="F1411" s="299"/>
      <c r="G1411" s="299"/>
      <c r="H1411" s="301"/>
      <c r="I1411" s="301"/>
      <c r="J1411" s="301"/>
      <c r="K1411" s="301"/>
      <c r="L1411" s="299"/>
      <c r="M1411" s="299"/>
      <c r="N1411" s="299"/>
      <c r="O1411" s="299"/>
      <c r="P1411" s="299"/>
      <c r="Q1411" s="299"/>
      <c r="R1411" s="299"/>
      <c r="S1411" s="299"/>
      <c r="T1411" s="59"/>
      <c r="U1411" s="59"/>
      <c r="V1411" s="59"/>
      <c r="W1411" s="59"/>
      <c r="X1411" s="59"/>
      <c r="Y1411" s="59"/>
      <c r="Z1411" s="59"/>
      <c r="AA1411" s="59"/>
      <c r="AB1411" s="59"/>
      <c r="AC1411" s="59"/>
    </row>
    <row r="1412" ht="15.75" customHeight="1">
      <c r="A1412" s="298"/>
      <c r="B1412" s="299"/>
      <c r="C1412" s="299"/>
      <c r="D1412" s="299"/>
      <c r="E1412" s="300"/>
      <c r="F1412" s="299"/>
      <c r="G1412" s="299"/>
      <c r="H1412" s="301"/>
      <c r="I1412" s="301"/>
      <c r="J1412" s="301"/>
      <c r="K1412" s="301"/>
      <c r="L1412" s="299"/>
      <c r="M1412" s="299"/>
      <c r="N1412" s="299"/>
      <c r="O1412" s="299"/>
      <c r="P1412" s="299"/>
      <c r="Q1412" s="299"/>
      <c r="R1412" s="299"/>
      <c r="S1412" s="299"/>
      <c r="T1412" s="59"/>
      <c r="U1412" s="59"/>
      <c r="V1412" s="59"/>
      <c r="W1412" s="59"/>
      <c r="X1412" s="59"/>
      <c r="Y1412" s="59"/>
      <c r="Z1412" s="59"/>
      <c r="AA1412" s="59"/>
      <c r="AB1412" s="59"/>
      <c r="AC1412" s="59"/>
    </row>
    <row r="1413" ht="15.75" customHeight="1">
      <c r="A1413" s="298"/>
      <c r="B1413" s="299"/>
      <c r="C1413" s="299"/>
      <c r="D1413" s="299"/>
      <c r="E1413" s="300"/>
      <c r="F1413" s="299"/>
      <c r="G1413" s="299"/>
      <c r="H1413" s="301"/>
      <c r="I1413" s="301"/>
      <c r="J1413" s="301"/>
      <c r="K1413" s="301"/>
      <c r="L1413" s="299"/>
      <c r="M1413" s="299"/>
      <c r="N1413" s="299"/>
      <c r="O1413" s="299"/>
      <c r="P1413" s="299"/>
      <c r="Q1413" s="299"/>
      <c r="R1413" s="299"/>
      <c r="S1413" s="299"/>
      <c r="T1413" s="59"/>
      <c r="U1413" s="59"/>
      <c r="V1413" s="59"/>
      <c r="W1413" s="59"/>
      <c r="X1413" s="59"/>
      <c r="Y1413" s="59"/>
      <c r="Z1413" s="59"/>
      <c r="AA1413" s="59"/>
      <c r="AB1413" s="59"/>
      <c r="AC1413" s="59"/>
    </row>
    <row r="1414" ht="15.75" customHeight="1">
      <c r="A1414" s="298"/>
      <c r="B1414" s="299"/>
      <c r="C1414" s="299"/>
      <c r="D1414" s="299"/>
      <c r="E1414" s="300"/>
      <c r="F1414" s="299"/>
      <c r="G1414" s="299"/>
      <c r="H1414" s="301"/>
      <c r="I1414" s="301"/>
      <c r="J1414" s="301"/>
      <c r="K1414" s="301"/>
      <c r="L1414" s="299"/>
      <c r="M1414" s="299"/>
      <c r="N1414" s="299"/>
      <c r="O1414" s="299"/>
      <c r="P1414" s="299"/>
      <c r="Q1414" s="299"/>
      <c r="R1414" s="299"/>
      <c r="S1414" s="299"/>
      <c r="T1414" s="59"/>
      <c r="U1414" s="59"/>
      <c r="V1414" s="59"/>
      <c r="W1414" s="59"/>
      <c r="X1414" s="59"/>
      <c r="Y1414" s="59"/>
      <c r="Z1414" s="59"/>
      <c r="AA1414" s="59"/>
      <c r="AB1414" s="59"/>
      <c r="AC1414" s="59"/>
    </row>
    <row r="1415" ht="15.75" customHeight="1">
      <c r="A1415" s="298"/>
      <c r="B1415" s="299"/>
      <c r="C1415" s="299"/>
      <c r="D1415" s="299"/>
      <c r="E1415" s="300"/>
      <c r="F1415" s="299"/>
      <c r="G1415" s="299"/>
      <c r="H1415" s="301"/>
      <c r="I1415" s="301"/>
      <c r="J1415" s="301"/>
      <c r="K1415" s="301"/>
      <c r="L1415" s="299"/>
      <c r="M1415" s="299"/>
      <c r="N1415" s="299"/>
      <c r="O1415" s="299"/>
      <c r="P1415" s="299"/>
      <c r="Q1415" s="299"/>
      <c r="R1415" s="299"/>
      <c r="S1415" s="299"/>
      <c r="T1415" s="59"/>
      <c r="U1415" s="59"/>
      <c r="V1415" s="59"/>
      <c r="W1415" s="59"/>
      <c r="X1415" s="59"/>
      <c r="Y1415" s="59"/>
      <c r="Z1415" s="59"/>
      <c r="AA1415" s="59"/>
      <c r="AB1415" s="59"/>
      <c r="AC1415" s="59"/>
    </row>
    <row r="1416" ht="15.75" customHeight="1">
      <c r="A1416" s="298"/>
      <c r="B1416" s="299"/>
      <c r="C1416" s="299"/>
      <c r="D1416" s="299"/>
      <c r="E1416" s="300"/>
      <c r="F1416" s="299"/>
      <c r="G1416" s="299"/>
      <c r="H1416" s="301"/>
      <c r="I1416" s="301"/>
      <c r="J1416" s="301"/>
      <c r="K1416" s="301"/>
      <c r="L1416" s="299"/>
      <c r="M1416" s="299"/>
      <c r="N1416" s="299"/>
      <c r="O1416" s="299"/>
      <c r="P1416" s="299"/>
      <c r="Q1416" s="299"/>
      <c r="R1416" s="299"/>
      <c r="S1416" s="299"/>
      <c r="T1416" s="59"/>
      <c r="U1416" s="59"/>
      <c r="V1416" s="59"/>
      <c r="W1416" s="59"/>
      <c r="X1416" s="59"/>
      <c r="Y1416" s="59"/>
      <c r="Z1416" s="59"/>
      <c r="AA1416" s="59"/>
      <c r="AB1416" s="59"/>
      <c r="AC1416" s="59"/>
    </row>
    <row r="1417" ht="15.75" customHeight="1">
      <c r="A1417" s="298"/>
      <c r="B1417" s="299"/>
      <c r="C1417" s="299"/>
      <c r="D1417" s="299"/>
      <c r="E1417" s="300"/>
      <c r="F1417" s="299"/>
      <c r="G1417" s="299"/>
      <c r="H1417" s="301"/>
      <c r="I1417" s="301"/>
      <c r="J1417" s="301"/>
      <c r="K1417" s="301"/>
      <c r="L1417" s="299"/>
      <c r="M1417" s="299"/>
      <c r="N1417" s="299"/>
      <c r="O1417" s="299"/>
      <c r="P1417" s="299"/>
      <c r="Q1417" s="299"/>
      <c r="R1417" s="299"/>
      <c r="S1417" s="299"/>
      <c r="T1417" s="59"/>
      <c r="U1417" s="59"/>
      <c r="V1417" s="59"/>
      <c r="W1417" s="59"/>
      <c r="X1417" s="59"/>
      <c r="Y1417" s="59"/>
      <c r="Z1417" s="59"/>
      <c r="AA1417" s="59"/>
      <c r="AB1417" s="59"/>
      <c r="AC1417" s="59"/>
    </row>
    <row r="1418" ht="15.75" customHeight="1">
      <c r="A1418" s="298"/>
      <c r="B1418" s="299"/>
      <c r="C1418" s="299"/>
      <c r="D1418" s="299"/>
      <c r="E1418" s="300"/>
      <c r="F1418" s="299"/>
      <c r="G1418" s="299"/>
      <c r="H1418" s="301"/>
      <c r="I1418" s="301"/>
      <c r="J1418" s="301"/>
      <c r="K1418" s="301"/>
      <c r="L1418" s="299"/>
      <c r="M1418" s="299"/>
      <c r="N1418" s="299"/>
      <c r="O1418" s="299"/>
      <c r="P1418" s="299"/>
      <c r="Q1418" s="299"/>
      <c r="R1418" s="299"/>
      <c r="S1418" s="299"/>
      <c r="T1418" s="59"/>
      <c r="U1418" s="59"/>
      <c r="V1418" s="59"/>
      <c r="W1418" s="59"/>
      <c r="X1418" s="59"/>
      <c r="Y1418" s="59"/>
      <c r="Z1418" s="59"/>
      <c r="AA1418" s="59"/>
      <c r="AB1418" s="59"/>
      <c r="AC1418" s="59"/>
    </row>
    <row r="1419" ht="15.75" customHeight="1">
      <c r="A1419" s="298"/>
      <c r="B1419" s="299"/>
      <c r="C1419" s="299"/>
      <c r="D1419" s="299"/>
      <c r="E1419" s="300"/>
      <c r="F1419" s="299"/>
      <c r="G1419" s="299"/>
      <c r="H1419" s="301"/>
      <c r="I1419" s="301"/>
      <c r="J1419" s="301"/>
      <c r="K1419" s="301"/>
      <c r="L1419" s="299"/>
      <c r="M1419" s="299"/>
      <c r="N1419" s="299"/>
      <c r="O1419" s="299"/>
      <c r="P1419" s="299"/>
      <c r="Q1419" s="299"/>
      <c r="R1419" s="299"/>
      <c r="S1419" s="299"/>
      <c r="T1419" s="59"/>
      <c r="U1419" s="59"/>
      <c r="V1419" s="59"/>
      <c r="W1419" s="59"/>
      <c r="X1419" s="59"/>
      <c r="Y1419" s="59"/>
      <c r="Z1419" s="59"/>
      <c r="AA1419" s="59"/>
      <c r="AB1419" s="59"/>
      <c r="AC1419" s="59"/>
    </row>
    <row r="1420" ht="15.75" customHeight="1">
      <c r="A1420" s="298"/>
      <c r="B1420" s="299"/>
      <c r="C1420" s="299"/>
      <c r="D1420" s="299"/>
      <c r="E1420" s="300"/>
      <c r="F1420" s="299"/>
      <c r="G1420" s="299"/>
      <c r="H1420" s="301"/>
      <c r="I1420" s="301"/>
      <c r="J1420" s="301"/>
      <c r="K1420" s="301"/>
      <c r="L1420" s="299"/>
      <c r="M1420" s="299"/>
      <c r="N1420" s="299"/>
      <c r="O1420" s="299"/>
      <c r="P1420" s="299"/>
      <c r="Q1420" s="299"/>
      <c r="R1420" s="299"/>
      <c r="S1420" s="299"/>
      <c r="T1420" s="59"/>
      <c r="U1420" s="59"/>
      <c r="V1420" s="59"/>
      <c r="W1420" s="59"/>
      <c r="X1420" s="59"/>
      <c r="Y1420" s="59"/>
      <c r="Z1420" s="59"/>
      <c r="AA1420" s="59"/>
      <c r="AB1420" s="59"/>
      <c r="AC1420" s="59"/>
    </row>
    <row r="1421" ht="15.75" customHeight="1">
      <c r="A1421" s="298"/>
      <c r="B1421" s="299"/>
      <c r="C1421" s="299"/>
      <c r="D1421" s="299"/>
      <c r="E1421" s="300"/>
      <c r="F1421" s="299"/>
      <c r="G1421" s="299"/>
      <c r="H1421" s="301"/>
      <c r="I1421" s="301"/>
      <c r="J1421" s="301"/>
      <c r="K1421" s="301"/>
      <c r="L1421" s="299"/>
      <c r="M1421" s="299"/>
      <c r="N1421" s="299"/>
      <c r="O1421" s="299"/>
      <c r="P1421" s="299"/>
      <c r="Q1421" s="299"/>
      <c r="R1421" s="299"/>
      <c r="S1421" s="299"/>
      <c r="T1421" s="59"/>
      <c r="U1421" s="59"/>
      <c r="V1421" s="59"/>
      <c r="W1421" s="59"/>
      <c r="X1421" s="59"/>
      <c r="Y1421" s="59"/>
      <c r="Z1421" s="59"/>
      <c r="AA1421" s="59"/>
      <c r="AB1421" s="59"/>
      <c r="AC1421" s="59"/>
    </row>
    <row r="1422" ht="15.75" customHeight="1">
      <c r="A1422" s="298"/>
      <c r="B1422" s="299"/>
      <c r="C1422" s="299"/>
      <c r="D1422" s="299"/>
      <c r="E1422" s="300"/>
      <c r="F1422" s="299"/>
      <c r="G1422" s="299"/>
      <c r="H1422" s="301"/>
      <c r="I1422" s="301"/>
      <c r="J1422" s="301"/>
      <c r="K1422" s="301"/>
      <c r="L1422" s="299"/>
      <c r="M1422" s="299"/>
      <c r="N1422" s="299"/>
      <c r="O1422" s="299"/>
      <c r="P1422" s="299"/>
      <c r="Q1422" s="299"/>
      <c r="R1422" s="299"/>
      <c r="S1422" s="299"/>
      <c r="T1422" s="59"/>
      <c r="U1422" s="59"/>
      <c r="V1422" s="59"/>
      <c r="W1422" s="59"/>
      <c r="X1422" s="59"/>
      <c r="Y1422" s="59"/>
      <c r="Z1422" s="59"/>
      <c r="AA1422" s="59"/>
      <c r="AB1422" s="59"/>
      <c r="AC1422" s="59"/>
    </row>
    <row r="1423" ht="15.75" customHeight="1">
      <c r="A1423" s="298"/>
      <c r="B1423" s="299"/>
      <c r="C1423" s="299"/>
      <c r="D1423" s="299"/>
      <c r="E1423" s="300"/>
      <c r="F1423" s="299"/>
      <c r="G1423" s="299"/>
      <c r="H1423" s="301"/>
      <c r="I1423" s="301"/>
      <c r="J1423" s="301"/>
      <c r="K1423" s="301"/>
      <c r="L1423" s="299"/>
      <c r="M1423" s="299"/>
      <c r="N1423" s="299"/>
      <c r="O1423" s="299"/>
      <c r="P1423" s="299"/>
      <c r="Q1423" s="299"/>
      <c r="R1423" s="299"/>
      <c r="S1423" s="299"/>
      <c r="T1423" s="59"/>
      <c r="U1423" s="59"/>
      <c r="V1423" s="59"/>
      <c r="W1423" s="59"/>
      <c r="X1423" s="59"/>
      <c r="Y1423" s="59"/>
      <c r="Z1423" s="59"/>
      <c r="AA1423" s="59"/>
      <c r="AB1423" s="59"/>
      <c r="AC1423" s="59"/>
    </row>
    <row r="1424" ht="15.75" customHeight="1">
      <c r="A1424" s="298"/>
      <c r="B1424" s="299"/>
      <c r="C1424" s="299"/>
      <c r="D1424" s="299"/>
      <c r="E1424" s="300"/>
      <c r="F1424" s="299"/>
      <c r="G1424" s="299"/>
      <c r="H1424" s="301"/>
      <c r="I1424" s="301"/>
      <c r="J1424" s="301"/>
      <c r="K1424" s="301"/>
      <c r="L1424" s="299"/>
      <c r="M1424" s="299"/>
      <c r="N1424" s="299"/>
      <c r="O1424" s="299"/>
      <c r="P1424" s="299"/>
      <c r="Q1424" s="299"/>
      <c r="R1424" s="299"/>
      <c r="S1424" s="299"/>
      <c r="T1424" s="59"/>
      <c r="U1424" s="59"/>
      <c r="V1424" s="59"/>
      <c r="W1424" s="59"/>
      <c r="X1424" s="59"/>
      <c r="Y1424" s="59"/>
      <c r="Z1424" s="59"/>
      <c r="AA1424" s="59"/>
      <c r="AB1424" s="59"/>
      <c r="AC1424" s="59"/>
    </row>
    <row r="1425" ht="15.75" customHeight="1">
      <c r="A1425" s="298"/>
      <c r="B1425" s="299"/>
      <c r="C1425" s="299"/>
      <c r="D1425" s="299"/>
      <c r="E1425" s="300"/>
      <c r="F1425" s="299"/>
      <c r="G1425" s="299"/>
      <c r="H1425" s="301"/>
      <c r="I1425" s="301"/>
      <c r="J1425" s="301"/>
      <c r="K1425" s="301"/>
      <c r="L1425" s="299"/>
      <c r="M1425" s="299"/>
      <c r="N1425" s="299"/>
      <c r="O1425" s="299"/>
      <c r="P1425" s="299"/>
      <c r="Q1425" s="299"/>
      <c r="R1425" s="299"/>
      <c r="S1425" s="299"/>
      <c r="T1425" s="59"/>
      <c r="U1425" s="59"/>
      <c r="V1425" s="59"/>
      <c r="W1425" s="59"/>
      <c r="X1425" s="59"/>
      <c r="Y1425" s="59"/>
      <c r="Z1425" s="59"/>
      <c r="AA1425" s="59"/>
      <c r="AB1425" s="59"/>
      <c r="AC1425" s="59"/>
    </row>
    <row r="1426" ht="15.75" customHeight="1">
      <c r="A1426" s="298"/>
      <c r="B1426" s="299"/>
      <c r="C1426" s="299"/>
      <c r="D1426" s="299"/>
      <c r="E1426" s="300"/>
      <c r="F1426" s="299"/>
      <c r="G1426" s="299"/>
      <c r="H1426" s="301"/>
      <c r="I1426" s="301"/>
      <c r="J1426" s="301"/>
      <c r="K1426" s="301"/>
      <c r="L1426" s="299"/>
      <c r="M1426" s="299"/>
      <c r="N1426" s="299"/>
      <c r="O1426" s="299"/>
      <c r="P1426" s="299"/>
      <c r="Q1426" s="299"/>
      <c r="R1426" s="299"/>
      <c r="S1426" s="299"/>
      <c r="T1426" s="59"/>
      <c r="U1426" s="59"/>
      <c r="V1426" s="59"/>
      <c r="W1426" s="59"/>
      <c r="X1426" s="59"/>
      <c r="Y1426" s="59"/>
      <c r="Z1426" s="59"/>
      <c r="AA1426" s="59"/>
      <c r="AB1426" s="59"/>
      <c r="AC1426" s="59"/>
    </row>
    <row r="1427" ht="15.75" customHeight="1">
      <c r="A1427" s="298"/>
      <c r="B1427" s="299"/>
      <c r="C1427" s="299"/>
      <c r="D1427" s="299"/>
      <c r="E1427" s="300"/>
      <c r="F1427" s="299"/>
      <c r="G1427" s="299"/>
      <c r="H1427" s="301"/>
      <c r="I1427" s="301"/>
      <c r="J1427" s="301"/>
      <c r="K1427" s="301"/>
      <c r="L1427" s="299"/>
      <c r="M1427" s="299"/>
      <c r="N1427" s="299"/>
      <c r="O1427" s="299"/>
      <c r="P1427" s="299"/>
      <c r="Q1427" s="299"/>
      <c r="R1427" s="299"/>
      <c r="S1427" s="299"/>
      <c r="T1427" s="59"/>
      <c r="U1427" s="59"/>
      <c r="V1427" s="59"/>
      <c r="W1427" s="59"/>
      <c r="X1427" s="59"/>
      <c r="Y1427" s="59"/>
      <c r="Z1427" s="59"/>
      <c r="AA1427" s="59"/>
      <c r="AB1427" s="59"/>
      <c r="AC1427" s="59"/>
    </row>
    <row r="1428" ht="15.75" customHeight="1">
      <c r="A1428" s="298"/>
      <c r="B1428" s="299"/>
      <c r="C1428" s="299"/>
      <c r="D1428" s="299"/>
      <c r="E1428" s="300"/>
      <c r="F1428" s="299"/>
      <c r="G1428" s="299"/>
      <c r="H1428" s="301"/>
      <c r="I1428" s="301"/>
      <c r="J1428" s="301"/>
      <c r="K1428" s="301"/>
      <c r="L1428" s="299"/>
      <c r="M1428" s="299"/>
      <c r="N1428" s="299"/>
      <c r="O1428" s="299"/>
      <c r="P1428" s="299"/>
      <c r="Q1428" s="299"/>
      <c r="R1428" s="299"/>
      <c r="S1428" s="299"/>
      <c r="T1428" s="59"/>
      <c r="U1428" s="59"/>
      <c r="V1428" s="59"/>
      <c r="W1428" s="59"/>
      <c r="X1428" s="59"/>
      <c r="Y1428" s="59"/>
      <c r="Z1428" s="59"/>
      <c r="AA1428" s="59"/>
      <c r="AB1428" s="59"/>
      <c r="AC1428" s="59"/>
    </row>
    <row r="1429" ht="15.75" customHeight="1">
      <c r="A1429" s="298"/>
      <c r="B1429" s="299"/>
      <c r="C1429" s="299"/>
      <c r="D1429" s="299"/>
      <c r="E1429" s="300"/>
      <c r="F1429" s="299"/>
      <c r="G1429" s="299"/>
      <c r="H1429" s="301"/>
      <c r="I1429" s="301"/>
      <c r="J1429" s="301"/>
      <c r="K1429" s="301"/>
      <c r="L1429" s="299"/>
      <c r="M1429" s="299"/>
      <c r="N1429" s="299"/>
      <c r="O1429" s="299"/>
      <c r="P1429" s="299"/>
      <c r="Q1429" s="299"/>
      <c r="R1429" s="299"/>
      <c r="S1429" s="299"/>
      <c r="T1429" s="59"/>
      <c r="U1429" s="59"/>
      <c r="V1429" s="59"/>
      <c r="W1429" s="59"/>
      <c r="X1429" s="59"/>
      <c r="Y1429" s="59"/>
      <c r="Z1429" s="59"/>
      <c r="AA1429" s="59"/>
      <c r="AB1429" s="59"/>
      <c r="AC1429" s="59"/>
    </row>
  </sheetData>
  <customSheetViews>
    <customSheetView guid="{734E546B-87AC-41A1-8F3E-E4EC18F5D9CD}" filter="1" showAutoFilter="1">
      <autoFilter ref="$A$1:$S$1429"/>
      <extLst>
        <ext uri="GoogleSheetsCustomDataVersion1">
          <go:sheetsCustomData xmlns:go="http://customooxmlschemas.google.com/" filterViewId="895522900"/>
        </ext>
      </extLst>
    </customSheetView>
  </customSheetViews>
  <conditionalFormatting sqref="A2:A1429">
    <cfRule type="containsText" dxfId="5" priority="1" operator="containsText" text="COMPROBANTE DE TRANSFERENCIA">
      <formula>NOT(ISERROR(SEARCH(("COMPROBANTE DE TRANSFERENCIA"),(A2))))</formula>
    </cfRule>
  </conditionalFormatting>
  <conditionalFormatting sqref="A2:A1429">
    <cfRule type="containsText" dxfId="6" priority="2" operator="containsText" text="COMPROBANTE DE PAGO">
      <formula>NOT(ISERROR(SEARCH(("COMPROBANTE DE PAGO"),(A2))))</formula>
    </cfRule>
  </conditionalFormatting>
  <conditionalFormatting sqref="A2:A1429">
    <cfRule type="containsText" dxfId="7" priority="3" operator="containsText" text="FACTURA">
      <formula>NOT(ISERROR(SEARCH(("FACTURA"),(A2))))</formula>
    </cfRule>
  </conditionalFormatting>
  <conditionalFormatting sqref="A2:A1429">
    <cfRule type="containsText" dxfId="8" priority="4" operator="containsText" text="BOLETA DE HONORARIOS">
      <formula>NOT(ISERROR(SEARCH(("BOLETA DE HONORARIOS"),(A2))))</formula>
    </cfRule>
  </conditionalFormatting>
  <conditionalFormatting sqref="A2:A1429">
    <cfRule type="containsText" dxfId="9" priority="5" operator="containsText" text="BOLETA">
      <formula>NOT(ISERROR(SEARCH(("BOLETA"),(A2))))</formula>
    </cfRule>
  </conditionalFormatting>
  <conditionalFormatting sqref="B2:B594">
    <cfRule type="containsText" dxfId="10" priority="6" operator="containsText" text="CONCILIADO">
      <formula>NOT(ISERROR(SEARCH(("CONCILIADO"),(B2))))</formula>
    </cfRule>
  </conditionalFormatting>
  <conditionalFormatting sqref="B2:B1429">
    <cfRule type="containsText" dxfId="11" priority="7" operator="containsText" text="PENDIENTE">
      <formula>NOT(ISERROR(SEARCH(("PENDIENTE"),(B2))))</formula>
    </cfRule>
  </conditionalFormatting>
  <conditionalFormatting sqref="B236:B1429">
    <cfRule type="containsText" dxfId="7" priority="8" operator="containsText" text="RECHAZADO">
      <formula>NOT(ISERROR(SEARCH(("RECHAZADO"),(B236))))</formula>
    </cfRule>
  </conditionalFormatting>
  <conditionalFormatting sqref="F2:F1429">
    <cfRule type="containsText" dxfId="12" priority="9" operator="containsText" text="B CHILE">
      <formula>NOT(ISERROR(SEARCH(("B CHILE"),(F2))))</formula>
    </cfRule>
  </conditionalFormatting>
  <conditionalFormatting sqref="F2:F1429">
    <cfRule type="containsText" dxfId="11" priority="10" operator="containsText" text="BCI">
      <formula>NOT(ISERROR(SEARCH(("BCI"),(F2))))</formula>
    </cfRule>
  </conditionalFormatting>
  <conditionalFormatting sqref="F2:F1429">
    <cfRule type="containsText" dxfId="10" priority="11" operator="containsText" text="B FALABELLA">
      <formula>NOT(ISERROR(SEARCH(("B FALABELLA"),(F2))))</formula>
    </cfRule>
  </conditionalFormatting>
  <conditionalFormatting sqref="G2:G1429">
    <cfRule type="containsText" dxfId="13" priority="12" operator="containsText" text="CREDITO">
      <formula>NOT(ISERROR(SEARCH(("CREDITO"),(G2))))</formula>
    </cfRule>
  </conditionalFormatting>
  <conditionalFormatting sqref="G2:G1429">
    <cfRule type="containsText" dxfId="14" priority="13" operator="containsText" text="DEBITO">
      <formula>NOT(ISERROR(SEARCH(("DEBITO"),(G2))))</formula>
    </cfRule>
  </conditionalFormatting>
  <dataValidations>
    <dataValidation type="list" allowBlank="1" showErrorMessage="1" sqref="M2:M1429">
      <formula1>"INGRESO OPERACIONAL,INGRESO NO OPERACIONAL,COSTO,GASTO"</formula1>
    </dataValidation>
    <dataValidation type="list" allowBlank="1" sqref="G2:G1429">
      <formula1>"Credito,Debito,Efectivo"</formula1>
    </dataValidation>
    <dataValidation type="list" allowBlank="1" sqref="A2:A1429">
      <formula1>"BOLETA,BOLETA DE HONORARIOS,FACTURA,COMPROBANTE DE PAGO,COMPROBANTE DE TRANSFERENCIA,NOTA DE CREDITO"</formula1>
    </dataValidation>
    <dataValidation type="custom" allowBlank="1" showDropDown="1" sqref="E2:E1429">
      <formula1>OR(NOT(ISERROR(DATEVALUE(E2))), AND(ISNUMBER(E2), LEFT(CELL("format", E2))="D"))</formula1>
    </dataValidation>
    <dataValidation type="list" allowBlank="1" sqref="N2:N1429">
      <formula1>"FIJO,VARIABLE,N/A"</formula1>
    </dataValidation>
    <dataValidation type="custom" allowBlank="1" showDropDown="1" sqref="H2:K1429">
      <formula1>AND(ISNUMBER(H2),(NOT(OR(NOT(ISERROR(DATEVALUE(H2))), AND(ISNUMBER(H2), LEFT(CELL("format", H2))="D")))))</formula1>
    </dataValidation>
    <dataValidation type="list" allowBlank="1" showErrorMessage="1" sqref="B2:B1429">
      <formula1>"CONCILIADO,PENDIENTE,RECHAZADO"</formula1>
    </dataValidation>
    <dataValidation type="list" allowBlank="1" showErrorMessage="1" sqref="F2:F1429">
      <formula1>"B Chile,B Falabella,BCI,B Estado"</formula1>
    </dataValidation>
  </dataValidations>
  <hyperlinks>
    <hyperlink r:id="rId2" ref="P2"/>
    <hyperlink r:id="rId3" ref="P3"/>
    <hyperlink r:id="rId4" ref="P4"/>
    <hyperlink r:id="rId5" ref="P5"/>
    <hyperlink r:id="rId6" ref="P6"/>
    <hyperlink r:id="rId7" ref="P7"/>
    <hyperlink r:id="rId8" ref="P8"/>
    <hyperlink r:id="rId9" ref="P9"/>
    <hyperlink r:id="rId10" ref="P10"/>
    <hyperlink r:id="rId11" ref="P11"/>
    <hyperlink r:id="rId12" ref="P12"/>
    <hyperlink r:id="rId13" ref="P13"/>
    <hyperlink r:id="rId14" ref="P14"/>
    <hyperlink r:id="rId15" ref="P15"/>
    <hyperlink r:id="rId16" ref="P16"/>
    <hyperlink r:id="rId17" ref="P17"/>
    <hyperlink r:id="rId18" ref="P18"/>
    <hyperlink r:id="rId19" ref="P19"/>
    <hyperlink r:id="rId20" ref="P20"/>
    <hyperlink r:id="rId21" ref="P21"/>
    <hyperlink r:id="rId22" ref="P22"/>
    <hyperlink r:id="rId23" ref="P23"/>
    <hyperlink r:id="rId24" ref="D24"/>
    <hyperlink r:id="rId25" ref="O24"/>
    <hyperlink r:id="rId26" ref="P24"/>
    <hyperlink r:id="rId27" ref="P25"/>
    <hyperlink r:id="rId28" ref="P26"/>
    <hyperlink r:id="rId29" ref="P27"/>
    <hyperlink r:id="rId30" ref="P28"/>
    <hyperlink r:id="rId31" ref="P29"/>
    <hyperlink r:id="rId32" ref="P30"/>
    <hyperlink r:id="rId33" ref="P31"/>
    <hyperlink r:id="rId34" ref="P32"/>
    <hyperlink r:id="rId35" ref="P33"/>
    <hyperlink r:id="rId36" ref="P34"/>
    <hyperlink r:id="rId37" ref="P35"/>
    <hyperlink r:id="rId38" ref="P36"/>
    <hyperlink r:id="rId39" ref="P37"/>
    <hyperlink r:id="rId40" ref="P38"/>
    <hyperlink r:id="rId41" ref="P39"/>
    <hyperlink r:id="rId42" ref="P40"/>
    <hyperlink r:id="rId43" ref="P41"/>
    <hyperlink r:id="rId44" ref="P42"/>
    <hyperlink r:id="rId45" ref="P43"/>
    <hyperlink r:id="rId46" ref="P44"/>
    <hyperlink r:id="rId47" ref="P45"/>
    <hyperlink r:id="rId48" ref="P46"/>
    <hyperlink r:id="rId49" ref="P47"/>
    <hyperlink r:id="rId50" ref="P48"/>
    <hyperlink r:id="rId51" ref="P49"/>
    <hyperlink r:id="rId52" ref="P50"/>
    <hyperlink r:id="rId53" ref="P51"/>
    <hyperlink r:id="rId54" ref="P52"/>
    <hyperlink r:id="rId55" ref="P53"/>
    <hyperlink r:id="rId56" ref="P54"/>
    <hyperlink r:id="rId57" ref="P55"/>
    <hyperlink r:id="rId58" ref="P56"/>
    <hyperlink r:id="rId59" ref="P57"/>
    <hyperlink r:id="rId60" ref="P58"/>
    <hyperlink r:id="rId61" ref="P59"/>
    <hyperlink r:id="rId62" ref="P60"/>
    <hyperlink r:id="rId63" ref="P61"/>
    <hyperlink r:id="rId64" ref="Q61"/>
    <hyperlink r:id="rId65" ref="P62"/>
    <hyperlink r:id="rId66" ref="P63"/>
    <hyperlink r:id="rId67" ref="P64"/>
    <hyperlink r:id="rId68" ref="P65"/>
    <hyperlink r:id="rId69" ref="P66"/>
    <hyperlink r:id="rId70" ref="P67"/>
    <hyperlink r:id="rId71" ref="P68"/>
    <hyperlink r:id="rId72" ref="P69"/>
    <hyperlink r:id="rId73" ref="P70"/>
    <hyperlink r:id="rId74" ref="P71"/>
    <hyperlink r:id="rId75" ref="P72"/>
    <hyperlink r:id="rId76" ref="P73"/>
    <hyperlink r:id="rId77" ref="P74"/>
    <hyperlink r:id="rId78" ref="P75"/>
    <hyperlink r:id="rId79" ref="P76"/>
    <hyperlink r:id="rId80" ref="P77"/>
    <hyperlink r:id="rId81" ref="P78"/>
    <hyperlink r:id="rId82" ref="P79"/>
    <hyperlink r:id="rId83" ref="P80"/>
    <hyperlink r:id="rId84" ref="P81"/>
    <hyperlink r:id="rId85" ref="Q82"/>
    <hyperlink r:id="rId86" ref="Q83"/>
    <hyperlink r:id="rId87" ref="Q84"/>
    <hyperlink r:id="rId88" ref="P85"/>
    <hyperlink r:id="rId89" ref="P86"/>
    <hyperlink r:id="rId90" ref="P87"/>
    <hyperlink r:id="rId91" ref="P88"/>
    <hyperlink r:id="rId92" ref="P89"/>
    <hyperlink r:id="rId93" ref="P90"/>
    <hyperlink r:id="rId94" ref="P91"/>
    <hyperlink r:id="rId95" ref="P92"/>
    <hyperlink r:id="rId96" ref="P93"/>
    <hyperlink r:id="rId97" ref="P94"/>
    <hyperlink r:id="rId98" ref="P95"/>
    <hyperlink r:id="rId99" ref="Q96"/>
    <hyperlink r:id="rId100" ref="Q97"/>
    <hyperlink r:id="rId101" ref="Q98"/>
    <hyperlink r:id="rId102" ref="P99"/>
    <hyperlink r:id="rId103" ref="P100"/>
    <hyperlink r:id="rId104" ref="P101"/>
    <hyperlink r:id="rId105" ref="P102"/>
    <hyperlink r:id="rId106" ref="P103"/>
    <hyperlink r:id="rId107" ref="P104"/>
    <hyperlink r:id="rId108" ref="P105"/>
    <hyperlink r:id="rId109" ref="P106"/>
    <hyperlink r:id="rId110" ref="P107"/>
    <hyperlink r:id="rId111" ref="P108"/>
    <hyperlink r:id="rId112" ref="P109"/>
    <hyperlink r:id="rId113" ref="P110"/>
    <hyperlink r:id="rId114" ref="P111"/>
    <hyperlink r:id="rId115" ref="P112"/>
    <hyperlink r:id="rId116" ref="P113"/>
    <hyperlink r:id="rId117" ref="P114"/>
    <hyperlink r:id="rId118" ref="P115"/>
    <hyperlink r:id="rId119" ref="P116"/>
    <hyperlink r:id="rId120" ref="D117"/>
    <hyperlink r:id="rId121" ref="O117"/>
    <hyperlink r:id="rId122" ref="P117"/>
    <hyperlink r:id="rId123" ref="P118"/>
    <hyperlink r:id="rId124" ref="P119"/>
    <hyperlink r:id="rId125" ref="P120"/>
    <hyperlink r:id="rId126" ref="P121"/>
    <hyperlink r:id="rId127" ref="P122"/>
    <hyperlink r:id="rId128" ref="P123"/>
    <hyperlink r:id="rId129" ref="P124"/>
    <hyperlink r:id="rId130" ref="P125"/>
    <hyperlink r:id="rId131" ref="P126"/>
    <hyperlink r:id="rId132" ref="P127"/>
    <hyperlink r:id="rId133" ref="P128"/>
    <hyperlink r:id="rId134" ref="P129"/>
    <hyperlink r:id="rId135" ref="P130"/>
    <hyperlink r:id="rId136" ref="P131"/>
    <hyperlink r:id="rId137" ref="P132"/>
    <hyperlink r:id="rId138" ref="P133"/>
    <hyperlink r:id="rId139" ref="P134"/>
    <hyperlink r:id="rId140" ref="P135"/>
    <hyperlink r:id="rId141" ref="P136"/>
    <hyperlink r:id="rId142" ref="P137"/>
    <hyperlink r:id="rId143" ref="P138"/>
    <hyperlink r:id="rId144" ref="P139"/>
    <hyperlink r:id="rId145" ref="P140"/>
    <hyperlink r:id="rId146" ref="Q140"/>
    <hyperlink r:id="rId147" ref="P141"/>
    <hyperlink r:id="rId148" ref="P142"/>
    <hyperlink r:id="rId149" ref="P143"/>
    <hyperlink r:id="rId150" ref="P144"/>
    <hyperlink r:id="rId151" ref="P145"/>
    <hyperlink r:id="rId152" ref="P146"/>
    <hyperlink r:id="rId153" ref="P147"/>
    <hyperlink r:id="rId154" ref="D149"/>
    <hyperlink r:id="rId155" ref="O149"/>
    <hyperlink r:id="rId156" ref="P149"/>
    <hyperlink r:id="rId157" ref="P152"/>
    <hyperlink r:id="rId158" ref="P157"/>
    <hyperlink r:id="rId159" ref="P158"/>
    <hyperlink r:id="rId160" ref="P166"/>
    <hyperlink r:id="rId161" ref="P167"/>
    <hyperlink r:id="rId162" ref="P168"/>
    <hyperlink r:id="rId163" ref="Q168"/>
    <hyperlink r:id="rId164" ref="P170"/>
    <hyperlink r:id="rId165" ref="P171"/>
    <hyperlink r:id="rId166" ref="P176"/>
    <hyperlink r:id="rId167" ref="P178"/>
    <hyperlink r:id="rId168" ref="P179"/>
    <hyperlink r:id="rId169" ref="P183"/>
    <hyperlink r:id="rId170" ref="P185"/>
    <hyperlink r:id="rId171" ref="P189"/>
    <hyperlink r:id="rId172" ref="P191"/>
    <hyperlink r:id="rId173" ref="P192"/>
    <hyperlink r:id="rId174" ref="P193"/>
    <hyperlink r:id="rId175" ref="P195"/>
    <hyperlink r:id="rId176" ref="P198"/>
    <hyperlink r:id="rId177" ref="P202"/>
    <hyperlink r:id="rId178" ref="P203"/>
    <hyperlink r:id="rId179" ref="P204"/>
    <hyperlink r:id="rId180" ref="P205"/>
    <hyperlink r:id="rId181" ref="P206"/>
    <hyperlink r:id="rId182" ref="P207"/>
    <hyperlink r:id="rId183" ref="P208"/>
    <hyperlink r:id="rId184" ref="P209"/>
    <hyperlink r:id="rId185" ref="P211"/>
    <hyperlink r:id="rId186" ref="P212"/>
    <hyperlink r:id="rId187" ref="P214"/>
    <hyperlink r:id="rId188" ref="P215"/>
    <hyperlink r:id="rId189" ref="P217"/>
    <hyperlink r:id="rId190" ref="P218"/>
    <hyperlink r:id="rId191" ref="P220"/>
    <hyperlink r:id="rId192" ref="P222"/>
    <hyperlink r:id="rId193" ref="P223"/>
    <hyperlink r:id="rId194" ref="Q223"/>
    <hyperlink r:id="rId195" ref="P225"/>
    <hyperlink r:id="rId196" ref="Q225"/>
    <hyperlink r:id="rId197" ref="L228"/>
    <hyperlink r:id="rId198" ref="P229"/>
    <hyperlink r:id="rId199" ref="P230"/>
    <hyperlink r:id="rId200" ref="P231"/>
    <hyperlink r:id="rId201" ref="Q234"/>
    <hyperlink r:id="rId202" ref="P239"/>
    <hyperlink r:id="rId203" ref="P240"/>
    <hyperlink r:id="rId204" ref="P241"/>
    <hyperlink r:id="rId205" ref="P242"/>
    <hyperlink r:id="rId206" ref="Q242"/>
    <hyperlink r:id="rId207" ref="P244"/>
    <hyperlink r:id="rId208" ref="P245"/>
    <hyperlink r:id="rId209" ref="P246"/>
    <hyperlink r:id="rId210" ref="P247"/>
    <hyperlink r:id="rId211" ref="P248"/>
    <hyperlink r:id="rId212" ref="P249"/>
    <hyperlink r:id="rId213" ref="P250"/>
    <hyperlink r:id="rId214" ref="P251"/>
    <hyperlink r:id="rId215" ref="Q251"/>
    <hyperlink r:id="rId216" ref="P252"/>
    <hyperlink r:id="rId217" ref="P253"/>
    <hyperlink r:id="rId218" ref="P254"/>
    <hyperlink r:id="rId219" ref="P255"/>
    <hyperlink r:id="rId220" ref="P256"/>
    <hyperlink r:id="rId221" ref="Q256"/>
    <hyperlink r:id="rId222" ref="P257"/>
    <hyperlink r:id="rId223" ref="P258"/>
    <hyperlink r:id="rId224" ref="P260"/>
    <hyperlink r:id="rId225" ref="P262"/>
    <hyperlink r:id="rId226" ref="P264"/>
    <hyperlink r:id="rId227" ref="P270"/>
    <hyperlink r:id="rId228" ref="P271"/>
    <hyperlink r:id="rId229" ref="P272"/>
    <hyperlink r:id="rId230" ref="P273"/>
    <hyperlink r:id="rId231" ref="P274"/>
    <hyperlink r:id="rId232" ref="P275"/>
    <hyperlink r:id="rId233" ref="P276"/>
    <hyperlink r:id="rId234" ref="Q276"/>
    <hyperlink r:id="rId235" ref="P277"/>
    <hyperlink r:id="rId236" ref="D278"/>
    <hyperlink r:id="rId237" ref="O278"/>
    <hyperlink r:id="rId238" ref="P278"/>
    <hyperlink r:id="rId239" ref="Q278"/>
    <hyperlink r:id="rId240" ref="P279"/>
    <hyperlink r:id="rId241" ref="P280"/>
    <hyperlink r:id="rId242" ref="P281"/>
    <hyperlink r:id="rId243" ref="P282"/>
    <hyperlink r:id="rId244" ref="Q282"/>
    <hyperlink r:id="rId245" ref="L283"/>
    <hyperlink r:id="rId246" ref="P283"/>
    <hyperlink r:id="rId247" ref="P285"/>
    <hyperlink r:id="rId248" ref="Q285"/>
    <hyperlink r:id="rId249" ref="L287"/>
    <hyperlink r:id="rId250" ref="O287"/>
    <hyperlink r:id="rId251" ref="L288"/>
    <hyperlink r:id="rId252" ref="P288"/>
    <hyperlink r:id="rId253" ref="P289"/>
    <hyperlink r:id="rId254" ref="P290"/>
    <hyperlink r:id="rId255" ref="P291"/>
    <hyperlink r:id="rId256" ref="P292"/>
    <hyperlink r:id="rId257" ref="L293"/>
    <hyperlink r:id="rId258" ref="P294"/>
    <hyperlink r:id="rId259" ref="P295"/>
    <hyperlink r:id="rId260" ref="P296"/>
    <hyperlink r:id="rId261" ref="L297"/>
    <hyperlink r:id="rId262" ref="P297"/>
    <hyperlink r:id="rId263" ref="Q297"/>
    <hyperlink r:id="rId264" ref="P298"/>
    <hyperlink r:id="rId265" ref="P299"/>
    <hyperlink r:id="rId266" ref="P300"/>
    <hyperlink r:id="rId267" ref="P302"/>
    <hyperlink r:id="rId268" ref="Q302"/>
    <hyperlink r:id="rId269" ref="L303"/>
    <hyperlink r:id="rId270" ref="P303"/>
    <hyperlink r:id="rId271" ref="L304"/>
    <hyperlink r:id="rId272" ref="P304"/>
    <hyperlink r:id="rId273" ref="P305"/>
    <hyperlink r:id="rId274" ref="P306"/>
    <hyperlink r:id="rId275" ref="L307"/>
    <hyperlink r:id="rId276" ref="P308"/>
    <hyperlink r:id="rId277" ref="P309"/>
    <hyperlink r:id="rId278" ref="P310"/>
    <hyperlink r:id="rId279" ref="P311"/>
    <hyperlink r:id="rId280" ref="P314"/>
    <hyperlink r:id="rId281" ref="Q314"/>
    <hyperlink r:id="rId282" ref="P315"/>
    <hyperlink r:id="rId283" ref="P316"/>
    <hyperlink r:id="rId284" ref="L317"/>
    <hyperlink r:id="rId285" ref="P317"/>
    <hyperlink r:id="rId286" ref="Q317"/>
    <hyperlink r:id="rId287" ref="L318"/>
    <hyperlink r:id="rId288" ref="P318"/>
    <hyperlink r:id="rId289" ref="P319"/>
    <hyperlink r:id="rId290" ref="P320"/>
    <hyperlink r:id="rId291" ref="P321"/>
    <hyperlink r:id="rId292" ref="P322"/>
    <hyperlink r:id="rId293" ref="P323"/>
    <hyperlink r:id="rId294" ref="P324"/>
    <hyperlink r:id="rId295" ref="L326"/>
    <hyperlink r:id="rId296" ref="P326"/>
    <hyperlink r:id="rId297" ref="L327"/>
    <hyperlink r:id="rId298" ref="P327"/>
    <hyperlink r:id="rId299" ref="L328"/>
    <hyperlink r:id="rId300" ref="P328"/>
    <hyperlink r:id="rId301" ref="L329"/>
    <hyperlink r:id="rId302" ref="P329"/>
    <hyperlink r:id="rId303" ref="P330"/>
    <hyperlink r:id="rId304" ref="P332"/>
    <hyperlink r:id="rId305" ref="P333"/>
    <hyperlink r:id="rId306" ref="L334"/>
    <hyperlink r:id="rId307" ref="P334"/>
    <hyperlink r:id="rId308" ref="P335"/>
    <hyperlink r:id="rId309" ref="P336"/>
    <hyperlink r:id="rId310" ref="L337"/>
    <hyperlink r:id="rId311" ref="P337"/>
    <hyperlink r:id="rId312" ref="L338"/>
    <hyperlink r:id="rId313" ref="P338"/>
    <hyperlink r:id="rId314" ref="P339"/>
    <hyperlink r:id="rId315" ref="P340"/>
    <hyperlink r:id="rId316" ref="P341"/>
    <hyperlink r:id="rId317" ref="P342"/>
    <hyperlink r:id="rId318" ref="L343"/>
    <hyperlink r:id="rId319" ref="P343"/>
    <hyperlink r:id="rId320" ref="L344"/>
    <hyperlink r:id="rId321" ref="P344"/>
    <hyperlink r:id="rId322" ref="L345"/>
    <hyperlink r:id="rId323" ref="P345"/>
    <hyperlink r:id="rId324" ref="L346"/>
    <hyperlink r:id="rId325" ref="P346"/>
    <hyperlink r:id="rId326" ref="Q346"/>
    <hyperlink r:id="rId327" ref="R346"/>
    <hyperlink r:id="rId328" ref="L347"/>
    <hyperlink r:id="rId329" ref="P347"/>
    <hyperlink r:id="rId330" ref="L348"/>
    <hyperlink r:id="rId331" ref="P348"/>
    <hyperlink r:id="rId332" ref="L349"/>
    <hyperlink r:id="rId333" ref="P349"/>
    <hyperlink r:id="rId334" ref="L350"/>
    <hyperlink r:id="rId335" ref="P350"/>
    <hyperlink r:id="rId336" ref="Q350"/>
    <hyperlink r:id="rId337" ref="R350"/>
    <hyperlink r:id="rId338" ref="S350"/>
    <hyperlink r:id="rId339" ref="L351"/>
    <hyperlink r:id="rId340" ref="P351"/>
    <hyperlink r:id="rId341" ref="L352"/>
    <hyperlink r:id="rId342" ref="P352"/>
    <hyperlink r:id="rId343" ref="L353"/>
    <hyperlink r:id="rId344" ref="P353"/>
    <hyperlink r:id="rId345" ref="L354"/>
    <hyperlink r:id="rId346" ref="P354"/>
    <hyperlink r:id="rId347" ref="L355"/>
    <hyperlink r:id="rId348" ref="P355"/>
    <hyperlink r:id="rId349" ref="P356"/>
    <hyperlink r:id="rId350" ref="L358"/>
    <hyperlink r:id="rId351" ref="P358"/>
    <hyperlink r:id="rId352" ref="L359"/>
    <hyperlink r:id="rId353" ref="P359"/>
    <hyperlink r:id="rId354" ref="P360"/>
    <hyperlink r:id="rId355" ref="P362"/>
    <hyperlink r:id="rId356" ref="L363"/>
    <hyperlink r:id="rId357" ref="P363"/>
    <hyperlink r:id="rId358" ref="Q363"/>
    <hyperlink r:id="rId359" ref="P364"/>
    <hyperlink r:id="rId360" ref="P366"/>
    <hyperlink r:id="rId361" ref="P367"/>
    <hyperlink r:id="rId362" ref="Q367"/>
    <hyperlink r:id="rId363" ref="R367"/>
    <hyperlink r:id="rId364" ref="P368"/>
    <hyperlink r:id="rId365" ref="P369"/>
    <hyperlink r:id="rId366" ref="P370"/>
    <hyperlink r:id="rId367" ref="L371"/>
    <hyperlink r:id="rId368" ref="P371"/>
    <hyperlink r:id="rId369" ref="P372"/>
    <hyperlink r:id="rId370" ref="L373"/>
    <hyperlink r:id="rId371" ref="P373"/>
    <hyperlink r:id="rId372" ref="P374"/>
    <hyperlink r:id="rId373" ref="P376"/>
    <hyperlink r:id="rId374" ref="P377"/>
    <hyperlink r:id="rId375" ref="P379"/>
    <hyperlink r:id="rId376" ref="P380"/>
    <hyperlink r:id="rId377" ref="P381"/>
    <hyperlink r:id="rId378" ref="P382"/>
    <hyperlink r:id="rId379" ref="P383"/>
    <hyperlink r:id="rId380" ref="L384"/>
    <hyperlink r:id="rId381" ref="P384"/>
    <hyperlink r:id="rId382" ref="L386"/>
    <hyperlink r:id="rId383" ref="P386"/>
    <hyperlink r:id="rId384" ref="L387"/>
    <hyperlink r:id="rId385" ref="P387"/>
    <hyperlink r:id="rId386" ref="L388"/>
    <hyperlink r:id="rId387" ref="P388"/>
    <hyperlink r:id="rId388" ref="L390"/>
    <hyperlink r:id="rId389" ref="P390"/>
    <hyperlink r:id="rId390" ref="L391"/>
    <hyperlink r:id="rId391" ref="P391"/>
    <hyperlink r:id="rId392" ref="L394"/>
    <hyperlink r:id="rId393" ref="P394"/>
    <hyperlink r:id="rId394" ref="L395"/>
    <hyperlink r:id="rId395" ref="P395"/>
    <hyperlink r:id="rId396" ref="P397"/>
    <hyperlink r:id="rId397" ref="P398"/>
    <hyperlink r:id="rId398" ref="P401"/>
    <hyperlink r:id="rId399" ref="P402"/>
    <hyperlink r:id="rId400" ref="P403"/>
    <hyperlink r:id="rId401" ref="P404"/>
    <hyperlink r:id="rId402" ref="P405"/>
    <hyperlink r:id="rId403" ref="L406"/>
    <hyperlink r:id="rId404" ref="P406"/>
    <hyperlink r:id="rId405" ref="P407"/>
    <hyperlink r:id="rId406" ref="P408"/>
    <hyperlink r:id="rId407" ref="L409"/>
    <hyperlink r:id="rId408" ref="P409"/>
    <hyperlink r:id="rId409" ref="P410"/>
    <hyperlink r:id="rId410" ref="P411"/>
    <hyperlink r:id="rId411" ref="P412"/>
    <hyperlink r:id="rId412" ref="P413"/>
    <hyperlink r:id="rId413" ref="P414"/>
    <hyperlink r:id="rId414" ref="P415"/>
    <hyperlink r:id="rId415" ref="P416"/>
    <hyperlink r:id="rId416" ref="P417"/>
    <hyperlink r:id="rId417" ref="P418"/>
    <hyperlink r:id="rId418" ref="P419"/>
    <hyperlink r:id="rId419" ref="P420"/>
    <hyperlink r:id="rId420" ref="P421"/>
    <hyperlink r:id="rId421" ref="L422"/>
    <hyperlink r:id="rId422" ref="P422"/>
    <hyperlink r:id="rId423" ref="P423"/>
    <hyperlink r:id="rId424" ref="P424"/>
    <hyperlink r:id="rId425" ref="P425"/>
    <hyperlink r:id="rId426" ref="P426"/>
    <hyperlink r:id="rId427" ref="L427"/>
    <hyperlink r:id="rId428" ref="P427"/>
    <hyperlink r:id="rId429" ref="L428"/>
    <hyperlink r:id="rId430" ref="P428"/>
    <hyperlink r:id="rId431" ref="L429"/>
    <hyperlink r:id="rId432" ref="P429"/>
    <hyperlink r:id="rId433" ref="L430"/>
    <hyperlink r:id="rId434" ref="P430"/>
    <hyperlink r:id="rId435" ref="P431"/>
    <hyperlink r:id="rId436" ref="P432"/>
    <hyperlink r:id="rId437" ref="P433"/>
    <hyperlink r:id="rId438" ref="P434"/>
    <hyperlink r:id="rId439" ref="P435"/>
    <hyperlink r:id="rId440" ref="P436"/>
    <hyperlink r:id="rId441" ref="P437"/>
    <hyperlink r:id="rId442" ref="P438"/>
    <hyperlink r:id="rId443" ref="P439"/>
    <hyperlink r:id="rId444" ref="P440"/>
    <hyperlink r:id="rId445" ref="P441"/>
    <hyperlink r:id="rId446" ref="P442"/>
    <hyperlink r:id="rId447" ref="P443"/>
    <hyperlink r:id="rId448" ref="P444"/>
    <hyperlink r:id="rId449" ref="P445"/>
    <hyperlink r:id="rId450" ref="P446"/>
    <hyperlink r:id="rId451" ref="P447"/>
    <hyperlink r:id="rId452" ref="P448"/>
    <hyperlink r:id="rId453" ref="L449"/>
    <hyperlink r:id="rId454" ref="P449"/>
    <hyperlink r:id="rId455" ref="P453"/>
    <hyperlink r:id="rId456" ref="P455"/>
    <hyperlink r:id="rId457" ref="P456"/>
    <hyperlink r:id="rId458" ref="P457"/>
    <hyperlink r:id="rId459" ref="P458"/>
    <hyperlink r:id="rId460" ref="P459"/>
    <hyperlink r:id="rId461" ref="P461"/>
    <hyperlink r:id="rId462" ref="P463"/>
    <hyperlink r:id="rId463" ref="P466"/>
    <hyperlink r:id="rId464" ref="L467"/>
    <hyperlink r:id="rId465" ref="P467"/>
    <hyperlink r:id="rId466" ref="L468"/>
    <hyperlink r:id="rId467" ref="P468"/>
    <hyperlink r:id="rId468" ref="L469"/>
    <hyperlink r:id="rId469" ref="P469"/>
    <hyperlink r:id="rId470" ref="P470"/>
    <hyperlink r:id="rId471" ref="P471"/>
    <hyperlink r:id="rId472" ref="L472"/>
    <hyperlink r:id="rId473" ref="P472"/>
    <hyperlink r:id="rId474" ref="P473"/>
    <hyperlink r:id="rId475" ref="P474"/>
    <hyperlink r:id="rId476" ref="L475"/>
    <hyperlink r:id="rId477" ref="P475"/>
    <hyperlink r:id="rId478" ref="L476"/>
    <hyperlink r:id="rId479" ref="P476"/>
    <hyperlink r:id="rId480" ref="L477"/>
    <hyperlink r:id="rId481" ref="P477"/>
    <hyperlink r:id="rId482" ref="L478"/>
    <hyperlink r:id="rId483" ref="P478"/>
    <hyperlink r:id="rId484" ref="L479"/>
    <hyperlink r:id="rId485" ref="P479"/>
    <hyperlink r:id="rId486" ref="L480"/>
    <hyperlink r:id="rId487" ref="P480"/>
    <hyperlink r:id="rId488" ref="L481"/>
    <hyperlink r:id="rId489" ref="P481"/>
    <hyperlink r:id="rId490" ref="L482"/>
    <hyperlink r:id="rId491" ref="P482"/>
    <hyperlink r:id="rId492" ref="L483"/>
    <hyperlink r:id="rId493" ref="L484"/>
    <hyperlink r:id="rId494" ref="P484"/>
    <hyperlink r:id="rId495" ref="L485"/>
    <hyperlink r:id="rId496" ref="L486"/>
    <hyperlink r:id="rId497" ref="P486"/>
    <hyperlink r:id="rId498" ref="L487"/>
    <hyperlink r:id="rId499" ref="P487"/>
    <hyperlink r:id="rId500" ref="L488"/>
    <hyperlink r:id="rId501" ref="P488"/>
    <hyperlink r:id="rId502" ref="L489"/>
    <hyperlink r:id="rId503" ref="P489"/>
    <hyperlink r:id="rId504" ref="L490"/>
    <hyperlink r:id="rId505" ref="P490"/>
    <hyperlink r:id="rId506" ref="L491"/>
    <hyperlink r:id="rId507" ref="P491"/>
    <hyperlink r:id="rId508" ref="L492"/>
    <hyperlink r:id="rId509" ref="P492"/>
    <hyperlink r:id="rId510" ref="L493"/>
    <hyperlink r:id="rId511" ref="P493"/>
    <hyperlink r:id="rId512" ref="L496"/>
    <hyperlink r:id="rId513" ref="P496"/>
    <hyperlink r:id="rId514" ref="P497"/>
    <hyperlink r:id="rId515" ref="L498"/>
    <hyperlink r:id="rId516" ref="P498"/>
    <hyperlink r:id="rId517" ref="L499"/>
    <hyperlink r:id="rId518" ref="P499"/>
    <hyperlink r:id="rId519" ref="L500"/>
    <hyperlink r:id="rId520" ref="L501"/>
    <hyperlink r:id="rId521" ref="P501"/>
    <hyperlink r:id="rId522" ref="L502"/>
    <hyperlink r:id="rId523" ref="P502"/>
    <hyperlink r:id="rId524" ref="L503"/>
    <hyperlink r:id="rId525" ref="P503"/>
    <hyperlink r:id="rId526" ref="L504"/>
    <hyperlink r:id="rId527" ref="P504"/>
    <hyperlink r:id="rId528" ref="L505"/>
    <hyperlink r:id="rId529" ref="P505"/>
    <hyperlink r:id="rId530" ref="L506"/>
    <hyperlink r:id="rId531" ref="P506"/>
    <hyperlink r:id="rId532" ref="L507"/>
    <hyperlink r:id="rId533" ref="P507"/>
    <hyperlink r:id="rId534" ref="L508"/>
    <hyperlink r:id="rId535" ref="P508"/>
    <hyperlink r:id="rId536" ref="L509"/>
    <hyperlink r:id="rId537" ref="P509"/>
    <hyperlink r:id="rId538" ref="L510"/>
    <hyperlink r:id="rId539" ref="P510"/>
    <hyperlink r:id="rId540" ref="L511"/>
    <hyperlink r:id="rId541" ref="P511"/>
    <hyperlink r:id="rId542" ref="L512"/>
    <hyperlink r:id="rId543" ref="P512"/>
    <hyperlink r:id="rId544" ref="L513"/>
    <hyperlink r:id="rId545" ref="P513"/>
    <hyperlink r:id="rId546" ref="L514"/>
    <hyperlink r:id="rId547" ref="P514"/>
    <hyperlink r:id="rId548" ref="P515"/>
    <hyperlink r:id="rId549" ref="P516"/>
    <hyperlink r:id="rId550" ref="L517"/>
    <hyperlink r:id="rId551" ref="P517"/>
    <hyperlink r:id="rId552" ref="P518"/>
    <hyperlink r:id="rId553" ref="P520"/>
    <hyperlink r:id="rId554" ref="P521"/>
    <hyperlink r:id="rId555" ref="P522"/>
    <hyperlink r:id="rId556" ref="P523"/>
    <hyperlink r:id="rId557" ref="P524"/>
    <hyperlink r:id="rId558" ref="P525"/>
  </hyperlinks>
  <printOptions/>
  <pageMargins bottom="0.75" footer="0.0" header="0.0" left="0.7" right="0.7" top="0.75"/>
  <pageSetup paperSize="9" orientation="portrait"/>
  <drawing r:id="rId559"/>
  <legacyDrawing r:id="rId560"/>
  <tableParts count="1">
    <tablePart r:id="rId56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18.11"/>
    <col customWidth="1" min="3" max="3" width="12.22"/>
    <col customWidth="1" min="4" max="4" width="11.78"/>
    <col customWidth="1" min="18" max="56" width="12.44"/>
  </cols>
  <sheetData>
    <row r="4">
      <c r="A4" s="1"/>
      <c r="B4" s="2" t="s">
        <v>0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</row>
    <row r="5">
      <c r="A5" s="1"/>
      <c r="B5" s="4" t="s">
        <v>1</v>
      </c>
      <c r="C5" s="4" t="s">
        <v>1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  <c r="AI5" s="4" t="s">
        <v>1</v>
      </c>
      <c r="AJ5" s="4" t="s">
        <v>1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  <c r="AP5" s="4" t="s">
        <v>1</v>
      </c>
      <c r="AQ5" s="4" t="s">
        <v>1</v>
      </c>
      <c r="AR5" s="4" t="s">
        <v>1</v>
      </c>
      <c r="AS5" s="4" t="s">
        <v>1</v>
      </c>
      <c r="AT5" s="4" t="s">
        <v>1</v>
      </c>
      <c r="AU5" s="4" t="s">
        <v>1</v>
      </c>
      <c r="AV5" s="4" t="s">
        <v>1</v>
      </c>
      <c r="AW5" s="4" t="s">
        <v>1</v>
      </c>
      <c r="AX5" s="4" t="s">
        <v>1</v>
      </c>
      <c r="AY5" s="4" t="s">
        <v>1</v>
      </c>
      <c r="AZ5" s="4" t="s">
        <v>1</v>
      </c>
      <c r="BA5" s="4" t="s">
        <v>1</v>
      </c>
      <c r="BB5" s="4" t="s">
        <v>1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</row>
    <row r="6">
      <c r="A6" s="6" t="s">
        <v>3</v>
      </c>
      <c r="B6" s="7" t="s">
        <v>5</v>
      </c>
      <c r="C6" s="8" t="s">
        <v>5</v>
      </c>
      <c r="D6" s="8" t="s">
        <v>5</v>
      </c>
      <c r="E6" s="8" t="s">
        <v>5</v>
      </c>
      <c r="F6" s="8" t="s">
        <v>5</v>
      </c>
      <c r="G6" s="9" t="s">
        <v>8</v>
      </c>
      <c r="H6" s="9" t="s">
        <v>8</v>
      </c>
      <c r="I6" s="9" t="s">
        <v>8</v>
      </c>
      <c r="J6" s="9" t="s">
        <v>8</v>
      </c>
      <c r="K6" s="10" t="s">
        <v>10</v>
      </c>
      <c r="L6" s="10" t="s">
        <v>10</v>
      </c>
      <c r="M6" s="11" t="s">
        <v>10</v>
      </c>
      <c r="N6" s="11" t="s">
        <v>10</v>
      </c>
      <c r="O6" s="12" t="s">
        <v>13</v>
      </c>
      <c r="P6" s="12" t="s">
        <v>13</v>
      </c>
      <c r="Q6" s="12" t="s">
        <v>13</v>
      </c>
      <c r="R6" s="12" t="s">
        <v>13</v>
      </c>
      <c r="S6" s="13" t="s">
        <v>16</v>
      </c>
      <c r="T6" s="13" t="s">
        <v>16</v>
      </c>
      <c r="U6" s="13" t="s">
        <v>16</v>
      </c>
      <c r="V6" s="15" t="s">
        <v>16</v>
      </c>
      <c r="W6" s="13" t="s">
        <v>16</v>
      </c>
      <c r="X6" s="16" t="s">
        <v>20</v>
      </c>
      <c r="Y6" s="16" t="s">
        <v>20</v>
      </c>
      <c r="Z6" s="16" t="s">
        <v>20</v>
      </c>
      <c r="AA6" s="16" t="s">
        <v>20</v>
      </c>
      <c r="AB6" s="18" t="s">
        <v>22</v>
      </c>
      <c r="AC6" s="18" t="s">
        <v>22</v>
      </c>
      <c r="AD6" s="18" t="s">
        <v>22</v>
      </c>
      <c r="AE6" s="18" t="s">
        <v>22</v>
      </c>
      <c r="AF6" s="18" t="s">
        <v>22</v>
      </c>
      <c r="AG6" s="19" t="s">
        <v>25</v>
      </c>
      <c r="AH6" s="19" t="s">
        <v>25</v>
      </c>
      <c r="AI6" s="19" t="s">
        <v>25</v>
      </c>
      <c r="AJ6" s="19" t="s">
        <v>25</v>
      </c>
      <c r="AK6" s="20" t="s">
        <v>27</v>
      </c>
      <c r="AL6" s="20" t="s">
        <v>27</v>
      </c>
      <c r="AM6" s="20" t="s">
        <v>27</v>
      </c>
      <c r="AN6" s="20" t="s">
        <v>27</v>
      </c>
      <c r="AO6" s="22" t="s">
        <v>31</v>
      </c>
      <c r="AP6" s="22" t="s">
        <v>31</v>
      </c>
      <c r="AQ6" s="22" t="s">
        <v>31</v>
      </c>
      <c r="AR6" s="22" t="s">
        <v>31</v>
      </c>
      <c r="AS6" s="22" t="s">
        <v>31</v>
      </c>
      <c r="AT6" s="27" t="s">
        <v>34</v>
      </c>
      <c r="AU6" s="27" t="s">
        <v>34</v>
      </c>
      <c r="AV6" s="27" t="s">
        <v>34</v>
      </c>
      <c r="AW6" s="27" t="s">
        <v>34</v>
      </c>
      <c r="AX6" s="30" t="s">
        <v>45</v>
      </c>
      <c r="AY6" s="30" t="s">
        <v>45</v>
      </c>
      <c r="AZ6" s="30" t="s">
        <v>45</v>
      </c>
      <c r="BA6" s="30" t="s">
        <v>45</v>
      </c>
      <c r="BB6" s="30" t="s">
        <v>45</v>
      </c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</row>
    <row r="7">
      <c r="A7" s="33" t="s">
        <v>50</v>
      </c>
      <c r="B7" s="35"/>
      <c r="C7" s="36"/>
      <c r="D7" s="36"/>
      <c r="E7" s="36"/>
      <c r="F7" s="36"/>
      <c r="G7" s="36"/>
      <c r="H7" s="36"/>
      <c r="I7" s="36"/>
      <c r="J7" s="36"/>
      <c r="K7" s="36"/>
      <c r="L7" s="36"/>
      <c r="M7" s="38"/>
      <c r="N7" s="36"/>
      <c r="O7" s="36"/>
      <c r="P7" s="36"/>
      <c r="Q7" s="36"/>
      <c r="R7" s="36"/>
      <c r="S7" s="36"/>
      <c r="T7" s="36"/>
      <c r="U7" s="36"/>
      <c r="V7" s="41"/>
      <c r="W7" s="36"/>
      <c r="X7" s="43"/>
      <c r="Y7" s="43"/>
      <c r="Z7" s="43"/>
      <c r="AA7" s="43"/>
      <c r="AB7" s="43"/>
      <c r="AC7" s="43"/>
      <c r="AD7" s="45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6"/>
      <c r="AR7" s="46"/>
      <c r="AS7" s="46"/>
      <c r="AT7" s="43"/>
      <c r="AU7" s="43"/>
      <c r="AV7" s="46"/>
      <c r="AW7" s="46"/>
      <c r="AX7" s="46"/>
      <c r="AY7" s="43"/>
      <c r="AZ7" s="46"/>
      <c r="BA7" s="46"/>
      <c r="BB7" s="46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</row>
    <row r="8">
      <c r="A8" s="33" t="s">
        <v>56</v>
      </c>
      <c r="B8" s="35"/>
      <c r="C8" s="50"/>
      <c r="D8" s="50"/>
      <c r="E8" s="50"/>
      <c r="F8" s="50"/>
      <c r="G8" s="50"/>
      <c r="H8" s="50"/>
      <c r="I8" s="50"/>
      <c r="J8" s="50"/>
      <c r="K8" s="50"/>
      <c r="L8" s="50"/>
      <c r="M8" s="52"/>
      <c r="N8" s="52"/>
      <c r="O8" s="52"/>
      <c r="P8" s="52"/>
      <c r="Q8" s="52"/>
      <c r="R8" s="52"/>
      <c r="S8" s="52"/>
      <c r="T8" s="52"/>
      <c r="U8" s="52"/>
      <c r="V8" s="53"/>
      <c r="W8" s="50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6"/>
      <c r="AQ8" s="46"/>
      <c r="AR8" s="46"/>
      <c r="AS8" s="43"/>
      <c r="AT8" s="43"/>
      <c r="AU8" s="46"/>
      <c r="AV8" s="46"/>
      <c r="AW8" s="46"/>
      <c r="AX8" s="43"/>
      <c r="AY8" s="46"/>
      <c r="AZ8" s="46"/>
      <c r="BA8" s="46"/>
      <c r="BB8" s="43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</row>
    <row r="9">
      <c r="A9" s="54" t="s">
        <v>65</v>
      </c>
      <c r="B9" s="55"/>
      <c r="C9" s="54">
        <f t="shared" ref="C9:BB9" si="1">B25</f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54">
        <f t="shared" si="1"/>
        <v>0</v>
      </c>
      <c r="W9" s="54">
        <f t="shared" si="1"/>
        <v>0</v>
      </c>
      <c r="X9" s="54">
        <f t="shared" si="1"/>
        <v>0</v>
      </c>
      <c r="Y9" s="54">
        <f t="shared" si="1"/>
        <v>0</v>
      </c>
      <c r="Z9" s="54">
        <f t="shared" si="1"/>
        <v>0</v>
      </c>
      <c r="AA9" s="54">
        <f t="shared" si="1"/>
        <v>0</v>
      </c>
      <c r="AB9" s="54">
        <f t="shared" si="1"/>
        <v>0</v>
      </c>
      <c r="AC9" s="54">
        <f t="shared" si="1"/>
        <v>0</v>
      </c>
      <c r="AD9" s="54">
        <f t="shared" si="1"/>
        <v>0</v>
      </c>
      <c r="AE9" s="54">
        <f t="shared" si="1"/>
        <v>0</v>
      </c>
      <c r="AF9" s="54">
        <f t="shared" si="1"/>
        <v>0</v>
      </c>
      <c r="AG9" s="54">
        <f t="shared" si="1"/>
        <v>0</v>
      </c>
      <c r="AH9" s="54">
        <f t="shared" si="1"/>
        <v>0</v>
      </c>
      <c r="AI9" s="54">
        <f t="shared" si="1"/>
        <v>0</v>
      </c>
      <c r="AJ9" s="54">
        <f t="shared" si="1"/>
        <v>0</v>
      </c>
      <c r="AK9" s="54">
        <f t="shared" si="1"/>
        <v>0</v>
      </c>
      <c r="AL9" s="54">
        <f t="shared" si="1"/>
        <v>0</v>
      </c>
      <c r="AM9" s="54">
        <f t="shared" si="1"/>
        <v>0</v>
      </c>
      <c r="AN9" s="54">
        <f t="shared" si="1"/>
        <v>0</v>
      </c>
      <c r="AO9" s="54">
        <f t="shared" si="1"/>
        <v>0</v>
      </c>
      <c r="AP9" s="54">
        <f t="shared" si="1"/>
        <v>0</v>
      </c>
      <c r="AQ9" s="54">
        <f t="shared" si="1"/>
        <v>0</v>
      </c>
      <c r="AR9" s="54">
        <f t="shared" si="1"/>
        <v>0</v>
      </c>
      <c r="AS9" s="54">
        <f t="shared" si="1"/>
        <v>0</v>
      </c>
      <c r="AT9" s="54">
        <f t="shared" si="1"/>
        <v>0</v>
      </c>
      <c r="AU9" s="54">
        <f t="shared" si="1"/>
        <v>0</v>
      </c>
      <c r="AV9" s="54">
        <f t="shared" si="1"/>
        <v>0</v>
      </c>
      <c r="AW9" s="54">
        <f t="shared" si="1"/>
        <v>0</v>
      </c>
      <c r="AX9" s="54">
        <f t="shared" si="1"/>
        <v>0</v>
      </c>
      <c r="AY9" s="54">
        <f t="shared" si="1"/>
        <v>0</v>
      </c>
      <c r="AZ9" s="54">
        <f t="shared" si="1"/>
        <v>0</v>
      </c>
      <c r="BA9" s="54">
        <f t="shared" si="1"/>
        <v>0</v>
      </c>
      <c r="BB9" s="54">
        <f t="shared" si="1"/>
        <v>0</v>
      </c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</row>
    <row r="11">
      <c r="A11" s="6" t="s">
        <v>79</v>
      </c>
      <c r="B11" s="6" t="s">
        <v>80</v>
      </c>
      <c r="C11" s="6" t="s">
        <v>82</v>
      </c>
      <c r="D11" s="6" t="s">
        <v>84</v>
      </c>
      <c r="E11" s="6" t="s">
        <v>85</v>
      </c>
      <c r="F11" s="6" t="s">
        <v>86</v>
      </c>
      <c r="G11" s="6" t="s">
        <v>87</v>
      </c>
      <c r="H11" s="6" t="s">
        <v>88</v>
      </c>
      <c r="I11" s="6" t="s">
        <v>89</v>
      </c>
      <c r="J11" s="6" t="s">
        <v>90</v>
      </c>
      <c r="K11" s="6" t="s">
        <v>92</v>
      </c>
      <c r="L11" s="6" t="s">
        <v>93</v>
      </c>
      <c r="M11" s="6" t="s">
        <v>94</v>
      </c>
      <c r="N11" s="6" t="s">
        <v>95</v>
      </c>
      <c r="O11" s="6" t="s">
        <v>96</v>
      </c>
      <c r="P11" s="6" t="s">
        <v>98</v>
      </c>
      <c r="Q11" s="6" t="s">
        <v>99</v>
      </c>
      <c r="R11" s="6" t="s">
        <v>100</v>
      </c>
      <c r="S11" s="6" t="s">
        <v>101</v>
      </c>
      <c r="T11" s="6" t="s">
        <v>102</v>
      </c>
      <c r="U11" s="6" t="s">
        <v>103</v>
      </c>
      <c r="V11" s="6" t="s">
        <v>104</v>
      </c>
      <c r="W11" s="6" t="s">
        <v>105</v>
      </c>
      <c r="X11" s="6" t="s">
        <v>106</v>
      </c>
      <c r="Y11" s="6" t="s">
        <v>107</v>
      </c>
      <c r="Z11" s="6" t="s">
        <v>108</v>
      </c>
      <c r="AA11" s="6" t="s">
        <v>109</v>
      </c>
      <c r="AB11" s="6" t="s">
        <v>110</v>
      </c>
      <c r="AC11" s="6" t="s">
        <v>111</v>
      </c>
      <c r="AD11" s="6" t="s">
        <v>112</v>
      </c>
      <c r="AE11" s="6" t="s">
        <v>113</v>
      </c>
      <c r="AF11" s="6" t="s">
        <v>114</v>
      </c>
      <c r="AG11" s="6" t="s">
        <v>115</v>
      </c>
      <c r="AH11" s="6" t="s">
        <v>116</v>
      </c>
      <c r="AI11" s="6" t="s">
        <v>117</v>
      </c>
      <c r="AJ11" s="6" t="s">
        <v>118</v>
      </c>
      <c r="AK11" s="6" t="s">
        <v>119</v>
      </c>
      <c r="AL11" s="6" t="s">
        <v>120</v>
      </c>
      <c r="AM11" s="6" t="s">
        <v>121</v>
      </c>
      <c r="AN11" s="6" t="s">
        <v>122</v>
      </c>
      <c r="AO11" s="6" t="s">
        <v>123</v>
      </c>
      <c r="AP11" s="6" t="s">
        <v>124</v>
      </c>
      <c r="AQ11" s="6" t="s">
        <v>125</v>
      </c>
      <c r="AR11" s="6" t="s">
        <v>126</v>
      </c>
      <c r="AS11" s="6" t="s">
        <v>127</v>
      </c>
      <c r="AT11" s="6" t="s">
        <v>128</v>
      </c>
      <c r="AU11" s="6" t="s">
        <v>129</v>
      </c>
      <c r="AV11" s="6" t="s">
        <v>130</v>
      </c>
      <c r="AW11" s="6" t="s">
        <v>131</v>
      </c>
      <c r="AX11" s="6" t="s">
        <v>132</v>
      </c>
      <c r="AY11" s="6" t="s">
        <v>133</v>
      </c>
      <c r="AZ11" s="6" t="s">
        <v>134</v>
      </c>
      <c r="BA11" s="6" t="s">
        <v>135</v>
      </c>
      <c r="BB11" s="6" t="s">
        <v>136</v>
      </c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</row>
    <row r="12">
      <c r="A12" s="65" t="s">
        <v>138</v>
      </c>
      <c r="B12" s="67">
        <f>B13+B14</f>
        <v>0</v>
      </c>
      <c r="C12" s="67">
        <f t="shared" ref="C12:BB12" si="2">SUM(C13:C14)</f>
        <v>0</v>
      </c>
      <c r="D12" s="67">
        <f t="shared" si="2"/>
        <v>0</v>
      </c>
      <c r="E12" s="67">
        <f t="shared" si="2"/>
        <v>0</v>
      </c>
      <c r="F12" s="67">
        <f t="shared" si="2"/>
        <v>0</v>
      </c>
      <c r="G12" s="67">
        <f t="shared" si="2"/>
        <v>0</v>
      </c>
      <c r="H12" s="67">
        <f t="shared" si="2"/>
        <v>0</v>
      </c>
      <c r="I12" s="67">
        <f t="shared" si="2"/>
        <v>0</v>
      </c>
      <c r="J12" s="67">
        <f t="shared" si="2"/>
        <v>0</v>
      </c>
      <c r="K12" s="67">
        <f t="shared" si="2"/>
        <v>0</v>
      </c>
      <c r="L12" s="67">
        <f t="shared" si="2"/>
        <v>0</v>
      </c>
      <c r="M12" s="67">
        <f t="shared" si="2"/>
        <v>0</v>
      </c>
      <c r="N12" s="67">
        <f t="shared" si="2"/>
        <v>0</v>
      </c>
      <c r="O12" s="67">
        <f t="shared" si="2"/>
        <v>0</v>
      </c>
      <c r="P12" s="67">
        <f t="shared" si="2"/>
        <v>0</v>
      </c>
      <c r="Q12" s="67">
        <f t="shared" si="2"/>
        <v>0</v>
      </c>
      <c r="R12" s="67">
        <f t="shared" si="2"/>
        <v>0</v>
      </c>
      <c r="S12" s="67">
        <f t="shared" si="2"/>
        <v>0</v>
      </c>
      <c r="T12" s="67">
        <f t="shared" si="2"/>
        <v>0</v>
      </c>
      <c r="U12" s="67">
        <f t="shared" si="2"/>
        <v>0</v>
      </c>
      <c r="V12" s="67">
        <f t="shared" si="2"/>
        <v>0</v>
      </c>
      <c r="W12" s="67">
        <f t="shared" si="2"/>
        <v>0</v>
      </c>
      <c r="X12" s="67">
        <f t="shared" si="2"/>
        <v>0</v>
      </c>
      <c r="Y12" s="67">
        <f t="shared" si="2"/>
        <v>0</v>
      </c>
      <c r="Z12" s="67">
        <f t="shared" si="2"/>
        <v>0</v>
      </c>
      <c r="AA12" s="67">
        <f t="shared" si="2"/>
        <v>0</v>
      </c>
      <c r="AB12" s="67">
        <f t="shared" si="2"/>
        <v>0</v>
      </c>
      <c r="AC12" s="67">
        <f t="shared" si="2"/>
        <v>0</v>
      </c>
      <c r="AD12" s="67">
        <f t="shared" si="2"/>
        <v>0</v>
      </c>
      <c r="AE12" s="67">
        <f t="shared" si="2"/>
        <v>0</v>
      </c>
      <c r="AF12" s="67">
        <f t="shared" si="2"/>
        <v>0</v>
      </c>
      <c r="AG12" s="67">
        <f t="shared" si="2"/>
        <v>0</v>
      </c>
      <c r="AH12" s="67">
        <f t="shared" si="2"/>
        <v>0</v>
      </c>
      <c r="AI12" s="67">
        <f t="shared" si="2"/>
        <v>0</v>
      </c>
      <c r="AJ12" s="67">
        <f t="shared" si="2"/>
        <v>0</v>
      </c>
      <c r="AK12" s="67">
        <f t="shared" si="2"/>
        <v>0</v>
      </c>
      <c r="AL12" s="67">
        <f t="shared" si="2"/>
        <v>0</v>
      </c>
      <c r="AM12" s="67">
        <f t="shared" si="2"/>
        <v>0</v>
      </c>
      <c r="AN12" s="67">
        <f t="shared" si="2"/>
        <v>0</v>
      </c>
      <c r="AO12" s="67">
        <f t="shared" si="2"/>
        <v>0</v>
      </c>
      <c r="AP12" s="67">
        <f t="shared" si="2"/>
        <v>0</v>
      </c>
      <c r="AQ12" s="67">
        <f t="shared" si="2"/>
        <v>0</v>
      </c>
      <c r="AR12" s="67">
        <f t="shared" si="2"/>
        <v>0</v>
      </c>
      <c r="AS12" s="67">
        <f t="shared" si="2"/>
        <v>0</v>
      </c>
      <c r="AT12" s="67">
        <f t="shared" si="2"/>
        <v>0</v>
      </c>
      <c r="AU12" s="67">
        <f t="shared" si="2"/>
        <v>0</v>
      </c>
      <c r="AV12" s="67">
        <f t="shared" si="2"/>
        <v>0</v>
      </c>
      <c r="AW12" s="67">
        <f t="shared" si="2"/>
        <v>0</v>
      </c>
      <c r="AX12" s="67">
        <f t="shared" si="2"/>
        <v>0</v>
      </c>
      <c r="AY12" s="67">
        <f t="shared" si="2"/>
        <v>0</v>
      </c>
      <c r="AZ12" s="67">
        <f t="shared" si="2"/>
        <v>0</v>
      </c>
      <c r="BA12" s="67">
        <f t="shared" si="2"/>
        <v>0</v>
      </c>
      <c r="BB12" s="67">
        <f t="shared" si="2"/>
        <v>0</v>
      </c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  <c r="EB12" s="72"/>
      <c r="EC12" s="72"/>
      <c r="ED12" s="72"/>
      <c r="EE12" s="72"/>
      <c r="EF12" s="72"/>
    </row>
    <row r="13">
      <c r="A13" s="73" t="s">
        <v>149</v>
      </c>
      <c r="B13" s="74"/>
      <c r="C13" s="74"/>
      <c r="D13" s="74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6"/>
      <c r="S13" s="75"/>
      <c r="T13" s="75"/>
      <c r="U13" s="75"/>
      <c r="V13" s="75"/>
      <c r="W13" s="75"/>
      <c r="X13" s="75"/>
      <c r="Y13" s="75"/>
      <c r="Z13" s="75"/>
      <c r="AA13" s="74"/>
      <c r="AB13" s="75"/>
      <c r="AC13" s="75"/>
      <c r="AD13" s="75"/>
      <c r="AE13" s="75"/>
      <c r="AF13" s="74"/>
      <c r="AG13" s="75"/>
      <c r="AH13" s="75"/>
      <c r="AI13" s="75"/>
      <c r="AJ13" s="74"/>
      <c r="AK13" s="75"/>
      <c r="AL13" s="75"/>
      <c r="AM13" s="75"/>
      <c r="AN13" s="74"/>
      <c r="AO13" s="75"/>
      <c r="AP13" s="75"/>
      <c r="AQ13" s="75"/>
      <c r="AR13" s="75"/>
      <c r="AS13" s="74"/>
      <c r="AT13" s="75"/>
      <c r="AU13" s="75"/>
      <c r="AV13" s="75"/>
      <c r="AW13" s="74"/>
      <c r="AX13" s="75"/>
      <c r="AY13" s="75"/>
      <c r="AZ13" s="75"/>
      <c r="BA13" s="75"/>
      <c r="BB13" s="74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</row>
    <row r="14">
      <c r="A14" s="73" t="s">
        <v>152</v>
      </c>
      <c r="B14" s="75"/>
      <c r="C14" s="74"/>
      <c r="D14" s="74"/>
      <c r="E14" s="75"/>
      <c r="F14" s="75"/>
      <c r="G14" s="75"/>
      <c r="H14" s="74"/>
      <c r="I14" s="75"/>
      <c r="J14" s="74"/>
      <c r="K14" s="74"/>
      <c r="L14" s="74"/>
      <c r="M14" s="75"/>
      <c r="N14" s="74"/>
      <c r="O14" s="75"/>
      <c r="P14" s="77"/>
      <c r="Q14" s="75"/>
      <c r="R14" s="74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</row>
    <row r="16">
      <c r="A16" s="78" t="s">
        <v>155</v>
      </c>
      <c r="B16" s="79" t="s">
        <v>80</v>
      </c>
      <c r="C16" s="80" t="s">
        <v>82</v>
      </c>
      <c r="D16" s="80" t="s">
        <v>84</v>
      </c>
      <c r="E16" s="80" t="s">
        <v>85</v>
      </c>
      <c r="F16" s="80" t="s">
        <v>86</v>
      </c>
      <c r="G16" s="80" t="s">
        <v>87</v>
      </c>
      <c r="H16" s="80" t="s">
        <v>88</v>
      </c>
      <c r="I16" s="80" t="s">
        <v>89</v>
      </c>
      <c r="J16" s="80" t="s">
        <v>90</v>
      </c>
      <c r="K16" s="80" t="s">
        <v>92</v>
      </c>
      <c r="L16" s="80" t="s">
        <v>93</v>
      </c>
      <c r="M16" s="80" t="s">
        <v>94</v>
      </c>
      <c r="N16" s="80" t="s">
        <v>95</v>
      </c>
      <c r="O16" s="80" t="s">
        <v>96</v>
      </c>
      <c r="P16" s="80" t="s">
        <v>98</v>
      </c>
      <c r="Q16" s="80" t="s">
        <v>99</v>
      </c>
      <c r="R16" s="80" t="s">
        <v>100</v>
      </c>
      <c r="S16" s="80" t="s">
        <v>101</v>
      </c>
      <c r="T16" s="80" t="s">
        <v>102</v>
      </c>
      <c r="U16" s="80" t="s">
        <v>103</v>
      </c>
      <c r="V16" s="80" t="s">
        <v>104</v>
      </c>
      <c r="W16" s="80" t="s">
        <v>105</v>
      </c>
      <c r="X16" s="81" t="s">
        <v>106</v>
      </c>
      <c r="Y16" s="81" t="s">
        <v>107</v>
      </c>
      <c r="Z16" s="81" t="s">
        <v>108</v>
      </c>
      <c r="AA16" s="81" t="s">
        <v>109</v>
      </c>
      <c r="AB16" s="81" t="s">
        <v>110</v>
      </c>
      <c r="AC16" s="81" t="s">
        <v>111</v>
      </c>
      <c r="AD16" s="81" t="s">
        <v>112</v>
      </c>
      <c r="AE16" s="81" t="s">
        <v>113</v>
      </c>
      <c r="AF16" s="81" t="s">
        <v>114</v>
      </c>
      <c r="AG16" s="81" t="s">
        <v>115</v>
      </c>
      <c r="AH16" s="81" t="s">
        <v>116</v>
      </c>
      <c r="AI16" s="81" t="s">
        <v>117</v>
      </c>
      <c r="AJ16" s="81" t="s">
        <v>118</v>
      </c>
      <c r="AK16" s="81" t="s">
        <v>119</v>
      </c>
      <c r="AL16" s="81" t="s">
        <v>120</v>
      </c>
      <c r="AM16" s="81" t="s">
        <v>121</v>
      </c>
      <c r="AN16" s="81" t="s">
        <v>122</v>
      </c>
      <c r="AO16" s="81" t="s">
        <v>123</v>
      </c>
      <c r="AP16" s="81" t="s">
        <v>124</v>
      </c>
      <c r="AQ16" s="81" t="s">
        <v>125</v>
      </c>
      <c r="AR16" s="81" t="s">
        <v>126</v>
      </c>
      <c r="AS16" s="81" t="s">
        <v>127</v>
      </c>
      <c r="AT16" s="81" t="s">
        <v>128</v>
      </c>
      <c r="AU16" s="81" t="s">
        <v>129</v>
      </c>
      <c r="AV16" s="81" t="s">
        <v>130</v>
      </c>
      <c r="AW16" s="81" t="s">
        <v>131</v>
      </c>
      <c r="AX16" s="81" t="s">
        <v>132</v>
      </c>
      <c r="AY16" s="81" t="s">
        <v>133</v>
      </c>
      <c r="AZ16" s="81" t="s">
        <v>134</v>
      </c>
      <c r="BA16" s="81" t="s">
        <v>135</v>
      </c>
      <c r="BB16" s="81" t="s">
        <v>136</v>
      </c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</row>
    <row r="17">
      <c r="A17" s="65" t="s">
        <v>157</v>
      </c>
      <c r="B17" s="67">
        <f>B18+B19+B20+B21</f>
        <v>0</v>
      </c>
      <c r="C17" s="67">
        <f t="shared" ref="C17:BB17" si="3">SUM(C18:C21)</f>
        <v>0</v>
      </c>
      <c r="D17" s="67">
        <f t="shared" si="3"/>
        <v>0</v>
      </c>
      <c r="E17" s="67">
        <f t="shared" si="3"/>
        <v>0</v>
      </c>
      <c r="F17" s="67">
        <f t="shared" si="3"/>
        <v>0</v>
      </c>
      <c r="G17" s="67">
        <f t="shared" si="3"/>
        <v>0</v>
      </c>
      <c r="H17" s="67">
        <f t="shared" si="3"/>
        <v>0</v>
      </c>
      <c r="I17" s="67">
        <f t="shared" si="3"/>
        <v>0</v>
      </c>
      <c r="J17" s="67">
        <f t="shared" si="3"/>
        <v>0</v>
      </c>
      <c r="K17" s="67">
        <f t="shared" si="3"/>
        <v>0</v>
      </c>
      <c r="L17" s="67">
        <f t="shared" si="3"/>
        <v>0</v>
      </c>
      <c r="M17" s="67">
        <f t="shared" si="3"/>
        <v>0</v>
      </c>
      <c r="N17" s="67">
        <f t="shared" si="3"/>
        <v>0</v>
      </c>
      <c r="O17" s="67">
        <f t="shared" si="3"/>
        <v>0</v>
      </c>
      <c r="P17" s="67">
        <f t="shared" si="3"/>
        <v>0</v>
      </c>
      <c r="Q17" s="67">
        <f t="shared" si="3"/>
        <v>0</v>
      </c>
      <c r="R17" s="67">
        <f t="shared" si="3"/>
        <v>0</v>
      </c>
      <c r="S17" s="67">
        <f t="shared" si="3"/>
        <v>0</v>
      </c>
      <c r="T17" s="67">
        <f t="shared" si="3"/>
        <v>0</v>
      </c>
      <c r="U17" s="67">
        <f t="shared" si="3"/>
        <v>0</v>
      </c>
      <c r="V17" s="67">
        <f t="shared" si="3"/>
        <v>0</v>
      </c>
      <c r="W17" s="67">
        <f t="shared" si="3"/>
        <v>0</v>
      </c>
      <c r="X17" s="67">
        <f t="shared" si="3"/>
        <v>0</v>
      </c>
      <c r="Y17" s="67">
        <f t="shared" si="3"/>
        <v>0</v>
      </c>
      <c r="Z17" s="67">
        <f t="shared" si="3"/>
        <v>0</v>
      </c>
      <c r="AA17" s="67">
        <f t="shared" si="3"/>
        <v>0</v>
      </c>
      <c r="AB17" s="67">
        <f t="shared" si="3"/>
        <v>0</v>
      </c>
      <c r="AC17" s="67">
        <f t="shared" si="3"/>
        <v>0</v>
      </c>
      <c r="AD17" s="67">
        <f t="shared" si="3"/>
        <v>0</v>
      </c>
      <c r="AE17" s="67">
        <f t="shared" si="3"/>
        <v>0</v>
      </c>
      <c r="AF17" s="67">
        <f t="shared" si="3"/>
        <v>0</v>
      </c>
      <c r="AG17" s="67">
        <f t="shared" si="3"/>
        <v>0</v>
      </c>
      <c r="AH17" s="67">
        <f t="shared" si="3"/>
        <v>0</v>
      </c>
      <c r="AI17" s="67">
        <f t="shared" si="3"/>
        <v>0</v>
      </c>
      <c r="AJ17" s="67">
        <f t="shared" si="3"/>
        <v>0</v>
      </c>
      <c r="AK17" s="67">
        <f t="shared" si="3"/>
        <v>0</v>
      </c>
      <c r="AL17" s="67">
        <f t="shared" si="3"/>
        <v>0</v>
      </c>
      <c r="AM17" s="67">
        <f t="shared" si="3"/>
        <v>0</v>
      </c>
      <c r="AN17" s="67">
        <f t="shared" si="3"/>
        <v>0</v>
      </c>
      <c r="AO17" s="67">
        <f t="shared" si="3"/>
        <v>0</v>
      </c>
      <c r="AP17" s="67">
        <f t="shared" si="3"/>
        <v>0</v>
      </c>
      <c r="AQ17" s="67">
        <f t="shared" si="3"/>
        <v>0</v>
      </c>
      <c r="AR17" s="67">
        <f t="shared" si="3"/>
        <v>0</v>
      </c>
      <c r="AS17" s="67">
        <f t="shared" si="3"/>
        <v>0</v>
      </c>
      <c r="AT17" s="67">
        <f t="shared" si="3"/>
        <v>0</v>
      </c>
      <c r="AU17" s="67">
        <f t="shared" si="3"/>
        <v>0</v>
      </c>
      <c r="AV17" s="67">
        <f t="shared" si="3"/>
        <v>0</v>
      </c>
      <c r="AW17" s="67">
        <f t="shared" si="3"/>
        <v>0</v>
      </c>
      <c r="AX17" s="67">
        <f t="shared" si="3"/>
        <v>0</v>
      </c>
      <c r="AY17" s="67">
        <f t="shared" si="3"/>
        <v>0</v>
      </c>
      <c r="AZ17" s="67">
        <f t="shared" si="3"/>
        <v>0</v>
      </c>
      <c r="BA17" s="67">
        <f t="shared" si="3"/>
        <v>0</v>
      </c>
      <c r="BB17" s="67">
        <f t="shared" si="3"/>
        <v>0</v>
      </c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82"/>
      <c r="CY17" s="82"/>
      <c r="CZ17" s="82"/>
      <c r="DA17" s="82"/>
      <c r="DB17" s="82"/>
      <c r="DC17" s="82"/>
      <c r="DD17" s="82"/>
      <c r="DE17" s="82"/>
      <c r="DF17" s="82"/>
      <c r="DG17" s="82"/>
      <c r="DH17" s="82"/>
      <c r="DI17" s="82"/>
      <c r="DJ17" s="82"/>
      <c r="DK17" s="82"/>
      <c r="DL17" s="82"/>
      <c r="DM17" s="82"/>
      <c r="DN17" s="82"/>
      <c r="DO17" s="82"/>
      <c r="DP17" s="82"/>
      <c r="DQ17" s="82"/>
      <c r="DR17" s="82"/>
      <c r="DS17" s="82"/>
      <c r="DT17" s="82"/>
      <c r="DU17" s="82"/>
      <c r="DV17" s="82"/>
      <c r="DW17" s="82"/>
      <c r="DX17" s="82"/>
      <c r="DY17" s="82"/>
      <c r="DZ17" s="82"/>
      <c r="EA17" s="82"/>
      <c r="EB17" s="82"/>
      <c r="EC17" s="82"/>
      <c r="ED17" s="82"/>
      <c r="EE17" s="82"/>
      <c r="EF17" s="82"/>
    </row>
    <row r="18">
      <c r="A18" s="73" t="s">
        <v>158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83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4"/>
      <c r="AB18" s="75"/>
      <c r="AC18" s="75"/>
      <c r="AD18" s="75"/>
      <c r="AE18" s="75"/>
      <c r="AF18" s="74"/>
      <c r="AG18" s="75"/>
      <c r="AH18" s="75"/>
      <c r="AI18" s="75"/>
      <c r="AJ18" s="74"/>
      <c r="AK18" s="75"/>
      <c r="AL18" s="75"/>
      <c r="AM18" s="75"/>
      <c r="AN18" s="74"/>
      <c r="AO18" s="75"/>
      <c r="AP18" s="75"/>
      <c r="AQ18" s="75"/>
      <c r="AR18" s="75"/>
      <c r="AS18" s="74"/>
      <c r="AT18" s="75"/>
      <c r="AU18" s="75"/>
      <c r="AV18" s="75"/>
      <c r="AW18" s="74"/>
      <c r="AX18" s="83"/>
      <c r="AY18" s="83"/>
      <c r="AZ18" s="83"/>
      <c r="BA18" s="83"/>
      <c r="BB18" s="74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</row>
    <row r="19">
      <c r="A19" s="73" t="s">
        <v>160</v>
      </c>
      <c r="B19" s="84"/>
      <c r="C19" s="74"/>
      <c r="D19" s="74"/>
      <c r="E19" s="74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8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</row>
    <row r="20">
      <c r="A20" s="73" t="s">
        <v>162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74"/>
      <c r="Q20" s="75"/>
      <c r="R20" s="86"/>
      <c r="S20" s="75"/>
      <c r="T20" s="75"/>
      <c r="U20" s="75"/>
      <c r="V20" s="75"/>
      <c r="W20" s="74"/>
      <c r="X20" s="83"/>
      <c r="Y20" s="83"/>
      <c r="Z20" s="83"/>
      <c r="AA20" s="74"/>
      <c r="AB20" s="83"/>
      <c r="AC20" s="83"/>
      <c r="AD20" s="83"/>
      <c r="AE20" s="83"/>
      <c r="AF20" s="74"/>
      <c r="AG20" s="83"/>
      <c r="AH20" s="83"/>
      <c r="AI20" s="83"/>
      <c r="AJ20" s="74"/>
      <c r="AK20" s="83"/>
      <c r="AL20" s="83"/>
      <c r="AM20" s="83"/>
      <c r="AN20" s="74"/>
      <c r="AO20" s="83"/>
      <c r="AP20" s="83"/>
      <c r="AQ20" s="83"/>
      <c r="AR20" s="83"/>
      <c r="AS20" s="74"/>
      <c r="AT20" s="83"/>
      <c r="AU20" s="83"/>
      <c r="AV20" s="83"/>
      <c r="AW20" s="74"/>
      <c r="AX20" s="83"/>
      <c r="AY20" s="83"/>
      <c r="AZ20" s="83"/>
      <c r="BA20" s="83"/>
      <c r="BB20" s="74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</row>
    <row r="21">
      <c r="A21" s="73" t="s">
        <v>163</v>
      </c>
      <c r="B21" s="75"/>
      <c r="C21" s="74"/>
      <c r="D21" s="74"/>
      <c r="E21" s="74"/>
      <c r="F21" s="74"/>
      <c r="G21" s="74"/>
      <c r="H21" s="74"/>
      <c r="I21" s="75"/>
      <c r="J21" s="74"/>
      <c r="K21" s="74"/>
      <c r="L21" s="75"/>
      <c r="M21" s="75"/>
      <c r="N21" s="74"/>
      <c r="O21" s="75"/>
      <c r="P21" s="74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</row>
    <row r="23">
      <c r="A23" s="78" t="s">
        <v>166</v>
      </c>
      <c r="B23" s="79" t="s">
        <v>80</v>
      </c>
      <c r="C23" s="80" t="s">
        <v>82</v>
      </c>
      <c r="D23" s="80" t="s">
        <v>84</v>
      </c>
      <c r="E23" s="80" t="s">
        <v>85</v>
      </c>
      <c r="F23" s="80" t="s">
        <v>86</v>
      </c>
      <c r="G23" s="80" t="s">
        <v>87</v>
      </c>
      <c r="H23" s="80" t="s">
        <v>88</v>
      </c>
      <c r="I23" s="80" t="s">
        <v>89</v>
      </c>
      <c r="J23" s="80" t="s">
        <v>90</v>
      </c>
      <c r="K23" s="80" t="s">
        <v>92</v>
      </c>
      <c r="L23" s="80" t="s">
        <v>93</v>
      </c>
      <c r="M23" s="80" t="s">
        <v>94</v>
      </c>
      <c r="N23" s="80" t="s">
        <v>95</v>
      </c>
      <c r="O23" s="80" t="s">
        <v>96</v>
      </c>
      <c r="P23" s="80" t="s">
        <v>98</v>
      </c>
      <c r="Q23" s="80" t="s">
        <v>99</v>
      </c>
      <c r="R23" s="80" t="s">
        <v>100</v>
      </c>
      <c r="S23" s="80" t="s">
        <v>101</v>
      </c>
      <c r="T23" s="80" t="s">
        <v>102</v>
      </c>
      <c r="U23" s="80" t="s">
        <v>103</v>
      </c>
      <c r="V23" s="80" t="s">
        <v>104</v>
      </c>
      <c r="W23" s="80" t="s">
        <v>105</v>
      </c>
      <c r="X23" s="80" t="s">
        <v>106</v>
      </c>
      <c r="Y23" s="80" t="s">
        <v>107</v>
      </c>
      <c r="Z23" s="80" t="s">
        <v>108</v>
      </c>
      <c r="AA23" s="80" t="s">
        <v>109</v>
      </c>
      <c r="AB23" s="80" t="s">
        <v>110</v>
      </c>
      <c r="AC23" s="80" t="s">
        <v>111</v>
      </c>
      <c r="AD23" s="80" t="s">
        <v>112</v>
      </c>
      <c r="AE23" s="80" t="s">
        <v>113</v>
      </c>
      <c r="AF23" s="80" t="s">
        <v>114</v>
      </c>
      <c r="AG23" s="80" t="s">
        <v>115</v>
      </c>
      <c r="AH23" s="80" t="s">
        <v>116</v>
      </c>
      <c r="AI23" s="80" t="s">
        <v>117</v>
      </c>
      <c r="AJ23" s="80" t="s">
        <v>118</v>
      </c>
      <c r="AK23" s="80" t="s">
        <v>119</v>
      </c>
      <c r="AL23" s="80" t="s">
        <v>120</v>
      </c>
      <c r="AM23" s="80" t="s">
        <v>121</v>
      </c>
      <c r="AN23" s="80" t="s">
        <v>122</v>
      </c>
      <c r="AO23" s="80" t="s">
        <v>123</v>
      </c>
      <c r="AP23" s="80" t="s">
        <v>124</v>
      </c>
      <c r="AQ23" s="80" t="s">
        <v>125</v>
      </c>
      <c r="AR23" s="80" t="s">
        <v>126</v>
      </c>
      <c r="AS23" s="80" t="s">
        <v>127</v>
      </c>
      <c r="AT23" s="80" t="s">
        <v>128</v>
      </c>
      <c r="AU23" s="80" t="s">
        <v>129</v>
      </c>
      <c r="AV23" s="80" t="s">
        <v>130</v>
      </c>
      <c r="AW23" s="80" t="s">
        <v>131</v>
      </c>
      <c r="AX23" s="80" t="s">
        <v>132</v>
      </c>
      <c r="AY23" s="80" t="s">
        <v>133</v>
      </c>
      <c r="AZ23" s="80" t="s">
        <v>134</v>
      </c>
      <c r="BA23" s="80" t="s">
        <v>135</v>
      </c>
      <c r="BB23" s="80" t="s">
        <v>136</v>
      </c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</row>
    <row r="24">
      <c r="A24" s="73" t="s">
        <v>168</v>
      </c>
      <c r="B24" s="87">
        <f t="shared" ref="B24:BB24" si="4">B12-B17</f>
        <v>0</v>
      </c>
      <c r="C24" s="87">
        <f t="shared" si="4"/>
        <v>0</v>
      </c>
      <c r="D24" s="87">
        <f t="shared" si="4"/>
        <v>0</v>
      </c>
      <c r="E24" s="87">
        <f t="shared" si="4"/>
        <v>0</v>
      </c>
      <c r="F24" s="87">
        <f t="shared" si="4"/>
        <v>0</v>
      </c>
      <c r="G24" s="87">
        <f t="shared" si="4"/>
        <v>0</v>
      </c>
      <c r="H24" s="87">
        <f t="shared" si="4"/>
        <v>0</v>
      </c>
      <c r="I24" s="87">
        <f t="shared" si="4"/>
        <v>0</v>
      </c>
      <c r="J24" s="87">
        <f t="shared" si="4"/>
        <v>0</v>
      </c>
      <c r="K24" s="87">
        <f t="shared" si="4"/>
        <v>0</v>
      </c>
      <c r="L24" s="87">
        <f t="shared" si="4"/>
        <v>0</v>
      </c>
      <c r="M24" s="87">
        <f t="shared" si="4"/>
        <v>0</v>
      </c>
      <c r="N24" s="87">
        <f t="shared" si="4"/>
        <v>0</v>
      </c>
      <c r="O24" s="87">
        <f t="shared" si="4"/>
        <v>0</v>
      </c>
      <c r="P24" s="87">
        <f t="shared" si="4"/>
        <v>0</v>
      </c>
      <c r="Q24" s="87">
        <f t="shared" si="4"/>
        <v>0</v>
      </c>
      <c r="R24" s="87">
        <f t="shared" si="4"/>
        <v>0</v>
      </c>
      <c r="S24" s="87">
        <f t="shared" si="4"/>
        <v>0</v>
      </c>
      <c r="T24" s="87">
        <f t="shared" si="4"/>
        <v>0</v>
      </c>
      <c r="U24" s="87">
        <f t="shared" si="4"/>
        <v>0</v>
      </c>
      <c r="V24" s="87">
        <f t="shared" si="4"/>
        <v>0</v>
      </c>
      <c r="W24" s="87">
        <f t="shared" si="4"/>
        <v>0</v>
      </c>
      <c r="X24" s="87">
        <f t="shared" si="4"/>
        <v>0</v>
      </c>
      <c r="Y24" s="87">
        <f t="shared" si="4"/>
        <v>0</v>
      </c>
      <c r="Z24" s="87">
        <f t="shared" si="4"/>
        <v>0</v>
      </c>
      <c r="AA24" s="87">
        <f t="shared" si="4"/>
        <v>0</v>
      </c>
      <c r="AB24" s="87">
        <f t="shared" si="4"/>
        <v>0</v>
      </c>
      <c r="AC24" s="87">
        <f t="shared" si="4"/>
        <v>0</v>
      </c>
      <c r="AD24" s="87">
        <f t="shared" si="4"/>
        <v>0</v>
      </c>
      <c r="AE24" s="87">
        <f t="shared" si="4"/>
        <v>0</v>
      </c>
      <c r="AF24" s="87">
        <f t="shared" si="4"/>
        <v>0</v>
      </c>
      <c r="AG24" s="87">
        <f t="shared" si="4"/>
        <v>0</v>
      </c>
      <c r="AH24" s="87">
        <f t="shared" si="4"/>
        <v>0</v>
      </c>
      <c r="AI24" s="87">
        <f t="shared" si="4"/>
        <v>0</v>
      </c>
      <c r="AJ24" s="87">
        <f t="shared" si="4"/>
        <v>0</v>
      </c>
      <c r="AK24" s="87">
        <f t="shared" si="4"/>
        <v>0</v>
      </c>
      <c r="AL24" s="87">
        <f t="shared" si="4"/>
        <v>0</v>
      </c>
      <c r="AM24" s="87">
        <f t="shared" si="4"/>
        <v>0</v>
      </c>
      <c r="AN24" s="87">
        <f t="shared" si="4"/>
        <v>0</v>
      </c>
      <c r="AO24" s="87">
        <f t="shared" si="4"/>
        <v>0</v>
      </c>
      <c r="AP24" s="87">
        <f t="shared" si="4"/>
        <v>0</v>
      </c>
      <c r="AQ24" s="87">
        <f t="shared" si="4"/>
        <v>0</v>
      </c>
      <c r="AR24" s="87">
        <f t="shared" si="4"/>
        <v>0</v>
      </c>
      <c r="AS24" s="87">
        <f t="shared" si="4"/>
        <v>0</v>
      </c>
      <c r="AT24" s="87">
        <f t="shared" si="4"/>
        <v>0</v>
      </c>
      <c r="AU24" s="87">
        <f t="shared" si="4"/>
        <v>0</v>
      </c>
      <c r="AV24" s="87">
        <f t="shared" si="4"/>
        <v>0</v>
      </c>
      <c r="AW24" s="87">
        <f t="shared" si="4"/>
        <v>0</v>
      </c>
      <c r="AX24" s="87">
        <f t="shared" si="4"/>
        <v>0</v>
      </c>
      <c r="AY24" s="87">
        <f t="shared" si="4"/>
        <v>0</v>
      </c>
      <c r="AZ24" s="87">
        <f t="shared" si="4"/>
        <v>0</v>
      </c>
      <c r="BA24" s="87">
        <f t="shared" si="4"/>
        <v>0</v>
      </c>
      <c r="BB24" s="87">
        <f t="shared" si="4"/>
        <v>0</v>
      </c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</row>
    <row r="25">
      <c r="A25" s="73" t="s">
        <v>171</v>
      </c>
      <c r="B25" s="87">
        <f t="shared" ref="B25:BB25" si="5">B9+B12-B17</f>
        <v>0</v>
      </c>
      <c r="C25" s="87">
        <f t="shared" si="5"/>
        <v>0</v>
      </c>
      <c r="D25" s="87">
        <f t="shared" si="5"/>
        <v>0</v>
      </c>
      <c r="E25" s="87">
        <f t="shared" si="5"/>
        <v>0</v>
      </c>
      <c r="F25" s="87">
        <f t="shared" si="5"/>
        <v>0</v>
      </c>
      <c r="G25" s="87">
        <f t="shared" si="5"/>
        <v>0</v>
      </c>
      <c r="H25" s="87">
        <f t="shared" si="5"/>
        <v>0</v>
      </c>
      <c r="I25" s="87">
        <f t="shared" si="5"/>
        <v>0</v>
      </c>
      <c r="J25" s="87">
        <f t="shared" si="5"/>
        <v>0</v>
      </c>
      <c r="K25" s="87">
        <f t="shared" si="5"/>
        <v>0</v>
      </c>
      <c r="L25" s="87">
        <f t="shared" si="5"/>
        <v>0</v>
      </c>
      <c r="M25" s="87">
        <f t="shared" si="5"/>
        <v>0</v>
      </c>
      <c r="N25" s="87">
        <f t="shared" si="5"/>
        <v>0</v>
      </c>
      <c r="O25" s="87">
        <f t="shared" si="5"/>
        <v>0</v>
      </c>
      <c r="P25" s="87">
        <f t="shared" si="5"/>
        <v>0</v>
      </c>
      <c r="Q25" s="87">
        <f t="shared" si="5"/>
        <v>0</v>
      </c>
      <c r="R25" s="87">
        <f t="shared" si="5"/>
        <v>0</v>
      </c>
      <c r="S25" s="87">
        <f t="shared" si="5"/>
        <v>0</v>
      </c>
      <c r="T25" s="87">
        <f t="shared" si="5"/>
        <v>0</v>
      </c>
      <c r="U25" s="87">
        <f t="shared" si="5"/>
        <v>0</v>
      </c>
      <c r="V25" s="87">
        <f t="shared" si="5"/>
        <v>0</v>
      </c>
      <c r="W25" s="87">
        <f t="shared" si="5"/>
        <v>0</v>
      </c>
      <c r="X25" s="87">
        <f t="shared" si="5"/>
        <v>0</v>
      </c>
      <c r="Y25" s="87">
        <f t="shared" si="5"/>
        <v>0</v>
      </c>
      <c r="Z25" s="87">
        <f t="shared" si="5"/>
        <v>0</v>
      </c>
      <c r="AA25" s="87">
        <f t="shared" si="5"/>
        <v>0</v>
      </c>
      <c r="AB25" s="87">
        <f t="shared" si="5"/>
        <v>0</v>
      </c>
      <c r="AC25" s="87">
        <f t="shared" si="5"/>
        <v>0</v>
      </c>
      <c r="AD25" s="87">
        <f t="shared" si="5"/>
        <v>0</v>
      </c>
      <c r="AE25" s="87">
        <f t="shared" si="5"/>
        <v>0</v>
      </c>
      <c r="AF25" s="87">
        <f t="shared" si="5"/>
        <v>0</v>
      </c>
      <c r="AG25" s="87">
        <f t="shared" si="5"/>
        <v>0</v>
      </c>
      <c r="AH25" s="87">
        <f t="shared" si="5"/>
        <v>0</v>
      </c>
      <c r="AI25" s="87">
        <f t="shared" si="5"/>
        <v>0</v>
      </c>
      <c r="AJ25" s="87">
        <f t="shared" si="5"/>
        <v>0</v>
      </c>
      <c r="AK25" s="87">
        <f t="shared" si="5"/>
        <v>0</v>
      </c>
      <c r="AL25" s="87">
        <f t="shared" si="5"/>
        <v>0</v>
      </c>
      <c r="AM25" s="87">
        <f t="shared" si="5"/>
        <v>0</v>
      </c>
      <c r="AN25" s="87">
        <f t="shared" si="5"/>
        <v>0</v>
      </c>
      <c r="AO25" s="87">
        <f t="shared" si="5"/>
        <v>0</v>
      </c>
      <c r="AP25" s="87">
        <f t="shared" si="5"/>
        <v>0</v>
      </c>
      <c r="AQ25" s="87">
        <f t="shared" si="5"/>
        <v>0</v>
      </c>
      <c r="AR25" s="87">
        <f t="shared" si="5"/>
        <v>0</v>
      </c>
      <c r="AS25" s="87">
        <f t="shared" si="5"/>
        <v>0</v>
      </c>
      <c r="AT25" s="87">
        <f t="shared" si="5"/>
        <v>0</v>
      </c>
      <c r="AU25" s="87">
        <f t="shared" si="5"/>
        <v>0</v>
      </c>
      <c r="AV25" s="87">
        <f t="shared" si="5"/>
        <v>0</v>
      </c>
      <c r="AW25" s="87">
        <f t="shared" si="5"/>
        <v>0</v>
      </c>
      <c r="AX25" s="87">
        <f t="shared" si="5"/>
        <v>0</v>
      </c>
      <c r="AY25" s="87">
        <f t="shared" si="5"/>
        <v>0</v>
      </c>
      <c r="AZ25" s="87">
        <f t="shared" si="5"/>
        <v>0</v>
      </c>
      <c r="BA25" s="87">
        <f t="shared" si="5"/>
        <v>0</v>
      </c>
      <c r="BB25" s="87">
        <f t="shared" si="5"/>
        <v>0</v>
      </c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</row>
    <row r="26">
      <c r="A26" s="73" t="s">
        <v>65</v>
      </c>
      <c r="B26" s="87" t="str">
        <f t="shared" ref="B26:BB26" si="6">B9</f>
        <v/>
      </c>
      <c r="C26" s="87">
        <f t="shared" si="6"/>
        <v>0</v>
      </c>
      <c r="D26" s="87">
        <f t="shared" si="6"/>
        <v>0</v>
      </c>
      <c r="E26" s="87">
        <f t="shared" si="6"/>
        <v>0</v>
      </c>
      <c r="F26" s="87">
        <f t="shared" si="6"/>
        <v>0</v>
      </c>
      <c r="G26" s="87">
        <f t="shared" si="6"/>
        <v>0</v>
      </c>
      <c r="H26" s="87">
        <f t="shared" si="6"/>
        <v>0</v>
      </c>
      <c r="I26" s="87">
        <f t="shared" si="6"/>
        <v>0</v>
      </c>
      <c r="J26" s="87">
        <f t="shared" si="6"/>
        <v>0</v>
      </c>
      <c r="K26" s="87">
        <f t="shared" si="6"/>
        <v>0</v>
      </c>
      <c r="L26" s="87">
        <f t="shared" si="6"/>
        <v>0</v>
      </c>
      <c r="M26" s="87">
        <f t="shared" si="6"/>
        <v>0</v>
      </c>
      <c r="N26" s="87">
        <f t="shared" si="6"/>
        <v>0</v>
      </c>
      <c r="O26" s="87">
        <f t="shared" si="6"/>
        <v>0</v>
      </c>
      <c r="P26" s="87">
        <f t="shared" si="6"/>
        <v>0</v>
      </c>
      <c r="Q26" s="87">
        <f t="shared" si="6"/>
        <v>0</v>
      </c>
      <c r="R26" s="87">
        <f t="shared" si="6"/>
        <v>0</v>
      </c>
      <c r="S26" s="87">
        <f t="shared" si="6"/>
        <v>0</v>
      </c>
      <c r="T26" s="87">
        <f t="shared" si="6"/>
        <v>0</v>
      </c>
      <c r="U26" s="87">
        <f t="shared" si="6"/>
        <v>0</v>
      </c>
      <c r="V26" s="87">
        <f t="shared" si="6"/>
        <v>0</v>
      </c>
      <c r="W26" s="87">
        <f t="shared" si="6"/>
        <v>0</v>
      </c>
      <c r="X26" s="87">
        <f t="shared" si="6"/>
        <v>0</v>
      </c>
      <c r="Y26" s="87">
        <f t="shared" si="6"/>
        <v>0</v>
      </c>
      <c r="Z26" s="87">
        <f t="shared" si="6"/>
        <v>0</v>
      </c>
      <c r="AA26" s="87">
        <f t="shared" si="6"/>
        <v>0</v>
      </c>
      <c r="AB26" s="87">
        <f t="shared" si="6"/>
        <v>0</v>
      </c>
      <c r="AC26" s="87">
        <f t="shared" si="6"/>
        <v>0</v>
      </c>
      <c r="AD26" s="87">
        <f t="shared" si="6"/>
        <v>0</v>
      </c>
      <c r="AE26" s="87">
        <f t="shared" si="6"/>
        <v>0</v>
      </c>
      <c r="AF26" s="87">
        <f t="shared" si="6"/>
        <v>0</v>
      </c>
      <c r="AG26" s="87">
        <f t="shared" si="6"/>
        <v>0</v>
      </c>
      <c r="AH26" s="87">
        <f t="shared" si="6"/>
        <v>0</v>
      </c>
      <c r="AI26" s="87">
        <f t="shared" si="6"/>
        <v>0</v>
      </c>
      <c r="AJ26" s="87">
        <f t="shared" si="6"/>
        <v>0</v>
      </c>
      <c r="AK26" s="87">
        <f t="shared" si="6"/>
        <v>0</v>
      </c>
      <c r="AL26" s="87">
        <f t="shared" si="6"/>
        <v>0</v>
      </c>
      <c r="AM26" s="87">
        <f t="shared" si="6"/>
        <v>0</v>
      </c>
      <c r="AN26" s="87">
        <f t="shared" si="6"/>
        <v>0</v>
      </c>
      <c r="AO26" s="87">
        <f t="shared" si="6"/>
        <v>0</v>
      </c>
      <c r="AP26" s="87">
        <f t="shared" si="6"/>
        <v>0</v>
      </c>
      <c r="AQ26" s="87">
        <f t="shared" si="6"/>
        <v>0</v>
      </c>
      <c r="AR26" s="87">
        <f t="shared" si="6"/>
        <v>0</v>
      </c>
      <c r="AS26" s="87">
        <f t="shared" si="6"/>
        <v>0</v>
      </c>
      <c r="AT26" s="87">
        <f t="shared" si="6"/>
        <v>0</v>
      </c>
      <c r="AU26" s="87">
        <f t="shared" si="6"/>
        <v>0</v>
      </c>
      <c r="AV26" s="87">
        <f t="shared" si="6"/>
        <v>0</v>
      </c>
      <c r="AW26" s="87">
        <f t="shared" si="6"/>
        <v>0</v>
      </c>
      <c r="AX26" s="87">
        <f t="shared" si="6"/>
        <v>0</v>
      </c>
      <c r="AY26" s="87">
        <f t="shared" si="6"/>
        <v>0</v>
      </c>
      <c r="AZ26" s="87">
        <f t="shared" si="6"/>
        <v>0</v>
      </c>
      <c r="BA26" s="87">
        <f t="shared" si="6"/>
        <v>0</v>
      </c>
      <c r="BB26" s="87">
        <f t="shared" si="6"/>
        <v>0</v>
      </c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  <row r="28">
      <c r="Q28" s="68" t="s">
        <v>66</v>
      </c>
    </row>
    <row r="30">
      <c r="C30" s="9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18.11"/>
    <col customWidth="1" min="3" max="3" width="12.22"/>
    <col customWidth="1" min="4" max="4" width="11.78"/>
    <col customWidth="1" min="18" max="56" width="12.44"/>
  </cols>
  <sheetData>
    <row r="4">
      <c r="A4" s="1"/>
      <c r="B4" s="2" t="s">
        <v>0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</row>
    <row r="5">
      <c r="A5" s="1"/>
      <c r="B5" s="4" t="s">
        <v>1</v>
      </c>
      <c r="C5" s="4" t="s">
        <v>1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  <c r="AI5" s="4" t="s">
        <v>1</v>
      </c>
      <c r="AJ5" s="4" t="s">
        <v>1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  <c r="AP5" s="4" t="s">
        <v>1</v>
      </c>
      <c r="AQ5" s="4" t="s">
        <v>1</v>
      </c>
      <c r="AR5" s="4" t="s">
        <v>1</v>
      </c>
      <c r="AS5" s="4" t="s">
        <v>1</v>
      </c>
      <c r="AT5" s="4" t="s">
        <v>1</v>
      </c>
      <c r="AU5" s="4" t="s">
        <v>1</v>
      </c>
      <c r="AV5" s="4" t="s">
        <v>1</v>
      </c>
      <c r="AW5" s="4" t="s">
        <v>1</v>
      </c>
      <c r="AX5" s="4" t="s">
        <v>1</v>
      </c>
      <c r="AY5" s="4" t="s">
        <v>1</v>
      </c>
      <c r="AZ5" s="4" t="s">
        <v>1</v>
      </c>
      <c r="BA5" s="4" t="s">
        <v>1</v>
      </c>
      <c r="BB5" s="4" t="s">
        <v>1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</row>
    <row r="6">
      <c r="A6" s="6" t="s">
        <v>3</v>
      </c>
      <c r="B6" s="7" t="s">
        <v>5</v>
      </c>
      <c r="C6" s="8" t="s">
        <v>5</v>
      </c>
      <c r="D6" s="8" t="s">
        <v>5</v>
      </c>
      <c r="E6" s="8" t="s">
        <v>5</v>
      </c>
      <c r="F6" s="8" t="s">
        <v>5</v>
      </c>
      <c r="G6" s="9" t="s">
        <v>8</v>
      </c>
      <c r="H6" s="9" t="s">
        <v>8</v>
      </c>
      <c r="I6" s="9" t="s">
        <v>8</v>
      </c>
      <c r="J6" s="9" t="s">
        <v>8</v>
      </c>
      <c r="K6" s="10" t="s">
        <v>10</v>
      </c>
      <c r="L6" s="10" t="s">
        <v>10</v>
      </c>
      <c r="M6" s="11" t="s">
        <v>10</v>
      </c>
      <c r="N6" s="11" t="s">
        <v>10</v>
      </c>
      <c r="O6" s="12" t="s">
        <v>13</v>
      </c>
      <c r="P6" s="12" t="s">
        <v>13</v>
      </c>
      <c r="Q6" s="12" t="s">
        <v>13</v>
      </c>
      <c r="R6" s="12" t="s">
        <v>13</v>
      </c>
      <c r="S6" s="13" t="s">
        <v>16</v>
      </c>
      <c r="T6" s="13" t="s">
        <v>16</v>
      </c>
      <c r="U6" s="13" t="s">
        <v>16</v>
      </c>
      <c r="V6" s="15" t="s">
        <v>16</v>
      </c>
      <c r="W6" s="13" t="s">
        <v>16</v>
      </c>
      <c r="X6" s="16" t="s">
        <v>20</v>
      </c>
      <c r="Y6" s="16" t="s">
        <v>20</v>
      </c>
      <c r="Z6" s="16" t="s">
        <v>20</v>
      </c>
      <c r="AA6" s="16" t="s">
        <v>20</v>
      </c>
      <c r="AB6" s="18" t="s">
        <v>22</v>
      </c>
      <c r="AC6" s="18" t="s">
        <v>22</v>
      </c>
      <c r="AD6" s="18" t="s">
        <v>22</v>
      </c>
      <c r="AE6" s="18" t="s">
        <v>22</v>
      </c>
      <c r="AF6" s="18" t="s">
        <v>22</v>
      </c>
      <c r="AG6" s="19" t="s">
        <v>25</v>
      </c>
      <c r="AH6" s="19" t="s">
        <v>25</v>
      </c>
      <c r="AI6" s="19" t="s">
        <v>25</v>
      </c>
      <c r="AJ6" s="19" t="s">
        <v>25</v>
      </c>
      <c r="AK6" s="20" t="s">
        <v>27</v>
      </c>
      <c r="AL6" s="20" t="s">
        <v>27</v>
      </c>
      <c r="AM6" s="20" t="s">
        <v>27</v>
      </c>
      <c r="AN6" s="20" t="s">
        <v>27</v>
      </c>
      <c r="AO6" s="22" t="s">
        <v>31</v>
      </c>
      <c r="AP6" s="22" t="s">
        <v>31</v>
      </c>
      <c r="AQ6" s="22" t="s">
        <v>31</v>
      </c>
      <c r="AR6" s="22" t="s">
        <v>31</v>
      </c>
      <c r="AS6" s="22" t="s">
        <v>31</v>
      </c>
      <c r="AT6" s="27" t="s">
        <v>34</v>
      </c>
      <c r="AU6" s="27" t="s">
        <v>34</v>
      </c>
      <c r="AV6" s="27" t="s">
        <v>34</v>
      </c>
      <c r="AW6" s="27" t="s">
        <v>34</v>
      </c>
      <c r="AX6" s="30" t="s">
        <v>45</v>
      </c>
      <c r="AY6" s="30" t="s">
        <v>45</v>
      </c>
      <c r="AZ6" s="30" t="s">
        <v>45</v>
      </c>
      <c r="BA6" s="30" t="s">
        <v>45</v>
      </c>
      <c r="BB6" s="30" t="s">
        <v>45</v>
      </c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</row>
    <row r="7">
      <c r="A7" s="33" t="s">
        <v>50</v>
      </c>
      <c r="B7" s="35">
        <v>46020.0</v>
      </c>
      <c r="C7" s="36">
        <v>46027.0</v>
      </c>
      <c r="D7" s="36">
        <v>46034.0</v>
      </c>
      <c r="E7" s="36">
        <v>46041.0</v>
      </c>
      <c r="F7" s="36">
        <v>46048.0</v>
      </c>
      <c r="G7" s="36">
        <v>46055.0</v>
      </c>
      <c r="H7" s="36">
        <v>46062.0</v>
      </c>
      <c r="I7" s="36">
        <v>46069.0</v>
      </c>
      <c r="J7" s="36">
        <v>46076.0</v>
      </c>
      <c r="K7" s="36">
        <v>46083.0</v>
      </c>
      <c r="L7" s="36">
        <v>46090.0</v>
      </c>
      <c r="M7" s="38">
        <v>46097.0</v>
      </c>
      <c r="N7" s="36">
        <v>46104.0</v>
      </c>
      <c r="O7" s="36">
        <v>46111.0</v>
      </c>
      <c r="P7" s="36">
        <v>46118.0</v>
      </c>
      <c r="Q7" s="36">
        <v>46125.0</v>
      </c>
      <c r="R7" s="36">
        <v>46132.0</v>
      </c>
      <c r="S7" s="36">
        <v>46139.0</v>
      </c>
      <c r="T7" s="36">
        <v>46146.0</v>
      </c>
      <c r="U7" s="36">
        <v>46153.0</v>
      </c>
      <c r="V7" s="41">
        <v>46160.0</v>
      </c>
      <c r="W7" s="36">
        <v>46167.0</v>
      </c>
      <c r="X7" s="43">
        <v>46174.0</v>
      </c>
      <c r="Y7" s="43">
        <v>46181.0</v>
      </c>
      <c r="Z7" s="43">
        <v>46188.0</v>
      </c>
      <c r="AA7" s="43">
        <v>46195.0</v>
      </c>
      <c r="AB7" s="43">
        <v>46202.0</v>
      </c>
      <c r="AC7" s="43">
        <v>46209.0</v>
      </c>
      <c r="AD7" s="45">
        <v>46216.0</v>
      </c>
      <c r="AE7" s="43">
        <v>46223.0</v>
      </c>
      <c r="AF7" s="43">
        <v>46230.0</v>
      </c>
      <c r="AG7" s="43">
        <v>46237.0</v>
      </c>
      <c r="AH7" s="43">
        <v>46244.0</v>
      </c>
      <c r="AI7" s="43">
        <v>46251.0</v>
      </c>
      <c r="AJ7" s="43">
        <v>46258.0</v>
      </c>
      <c r="AK7" s="43">
        <v>46265.0</v>
      </c>
      <c r="AL7" s="43">
        <v>46272.0</v>
      </c>
      <c r="AM7" s="43">
        <v>46279.0</v>
      </c>
      <c r="AN7" s="43">
        <v>46286.0</v>
      </c>
      <c r="AO7" s="43">
        <v>46293.0</v>
      </c>
      <c r="AP7" s="43">
        <v>46300.0</v>
      </c>
      <c r="AQ7" s="46">
        <v>46307.0</v>
      </c>
      <c r="AR7" s="46">
        <v>46314.0</v>
      </c>
      <c r="AS7" s="46">
        <v>46321.0</v>
      </c>
      <c r="AT7" s="43">
        <v>46328.0</v>
      </c>
      <c r="AU7" s="43">
        <v>46335.0</v>
      </c>
      <c r="AV7" s="46">
        <v>46342.0</v>
      </c>
      <c r="AW7" s="46">
        <v>46349.0</v>
      </c>
      <c r="AX7" s="46">
        <v>46356.0</v>
      </c>
      <c r="AY7" s="43">
        <v>46363.0</v>
      </c>
      <c r="AZ7" s="46">
        <v>46370.0</v>
      </c>
      <c r="BA7" s="46">
        <v>46377.0</v>
      </c>
      <c r="BB7" s="46">
        <v>46384.0</v>
      </c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</row>
    <row r="8">
      <c r="A8" s="33" t="s">
        <v>56</v>
      </c>
      <c r="B8" s="53">
        <v>46026.0</v>
      </c>
      <c r="C8" s="50">
        <v>46033.0</v>
      </c>
      <c r="D8" s="50">
        <v>46040.0</v>
      </c>
      <c r="E8" s="50">
        <v>46047.0</v>
      </c>
      <c r="F8" s="50">
        <v>46054.0</v>
      </c>
      <c r="G8" s="50">
        <v>46061.0</v>
      </c>
      <c r="H8" s="50">
        <v>46068.0</v>
      </c>
      <c r="I8" s="50">
        <v>46075.0</v>
      </c>
      <c r="J8" s="50">
        <v>46082.0</v>
      </c>
      <c r="K8" s="50">
        <v>46089.0</v>
      </c>
      <c r="L8" s="50">
        <v>46096.0</v>
      </c>
      <c r="M8" s="52">
        <v>46103.0</v>
      </c>
      <c r="N8" s="52">
        <v>46110.0</v>
      </c>
      <c r="O8" s="52">
        <v>46117.0</v>
      </c>
      <c r="P8" s="52">
        <v>46124.0</v>
      </c>
      <c r="Q8" s="52">
        <v>46131.0</v>
      </c>
      <c r="R8" s="52">
        <v>46138.0</v>
      </c>
      <c r="S8" s="52">
        <v>46145.0</v>
      </c>
      <c r="T8" s="52">
        <v>46152.0</v>
      </c>
      <c r="U8" s="52">
        <v>46159.0</v>
      </c>
      <c r="V8" s="53">
        <v>46166.0</v>
      </c>
      <c r="W8" s="50">
        <v>46173.0</v>
      </c>
      <c r="X8" s="43">
        <v>46180.0</v>
      </c>
      <c r="Y8" s="43">
        <v>46187.0</v>
      </c>
      <c r="Z8" s="43">
        <v>46194.0</v>
      </c>
      <c r="AA8" s="43">
        <v>46201.0</v>
      </c>
      <c r="AB8" s="43">
        <v>46208.0</v>
      </c>
      <c r="AC8" s="43">
        <v>46215.0</v>
      </c>
      <c r="AD8" s="43">
        <v>46222.0</v>
      </c>
      <c r="AE8" s="43">
        <v>46229.0</v>
      </c>
      <c r="AF8" s="43">
        <v>46236.0</v>
      </c>
      <c r="AG8" s="43">
        <v>46243.0</v>
      </c>
      <c r="AH8" s="43">
        <v>46250.0</v>
      </c>
      <c r="AI8" s="43">
        <v>46257.0</v>
      </c>
      <c r="AJ8" s="43">
        <v>46264.0</v>
      </c>
      <c r="AK8" s="43">
        <v>46271.0</v>
      </c>
      <c r="AL8" s="43">
        <v>46278.0</v>
      </c>
      <c r="AM8" s="43">
        <v>46285.0</v>
      </c>
      <c r="AN8" s="43">
        <v>46292.0</v>
      </c>
      <c r="AO8" s="43">
        <v>46299.0</v>
      </c>
      <c r="AP8" s="46">
        <v>46306.0</v>
      </c>
      <c r="AQ8" s="46">
        <v>46313.0</v>
      </c>
      <c r="AR8" s="46">
        <v>46320.0</v>
      </c>
      <c r="AS8" s="43">
        <v>46327.0</v>
      </c>
      <c r="AT8" s="43">
        <v>46334.0</v>
      </c>
      <c r="AU8" s="46">
        <v>46341.0</v>
      </c>
      <c r="AV8" s="46">
        <v>46348.0</v>
      </c>
      <c r="AW8" s="46">
        <v>46355.0</v>
      </c>
      <c r="AX8" s="43">
        <v>46362.0</v>
      </c>
      <c r="AY8" s="46">
        <v>46369.0</v>
      </c>
      <c r="AZ8" s="46">
        <v>46376.0</v>
      </c>
      <c r="BA8" s="46">
        <v>46383.0</v>
      </c>
      <c r="BB8" s="43">
        <v>46390.0</v>
      </c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</row>
    <row r="9">
      <c r="A9" s="54" t="s">
        <v>65</v>
      </c>
      <c r="B9" s="55"/>
      <c r="C9" s="54">
        <f t="shared" ref="C9:BB9" si="1">B25</f>
        <v>-5328923</v>
      </c>
      <c r="D9" s="54">
        <f t="shared" si="1"/>
        <v>-32015751</v>
      </c>
      <c r="E9" s="54">
        <f t="shared" si="1"/>
        <v>-34746201.75</v>
      </c>
      <c r="F9" s="54">
        <f t="shared" si="1"/>
        <v>-36715987.75</v>
      </c>
      <c r="G9" s="54">
        <f t="shared" si="1"/>
        <v>-41758694.75</v>
      </c>
      <c r="H9" s="54">
        <f t="shared" si="1"/>
        <v>-66183083.75</v>
      </c>
      <c r="I9" s="54">
        <f t="shared" si="1"/>
        <v>-70717851.75</v>
      </c>
      <c r="J9" s="54">
        <f t="shared" si="1"/>
        <v>-72785851.75</v>
      </c>
      <c r="K9" s="54">
        <f t="shared" si="1"/>
        <v>-73844758.75</v>
      </c>
      <c r="L9" s="54">
        <f t="shared" si="1"/>
        <v>-78353221.75</v>
      </c>
      <c r="M9" s="54">
        <f t="shared" si="1"/>
        <v>-80056801.75</v>
      </c>
      <c r="N9" s="54">
        <f t="shared" si="1"/>
        <v>-80156801.75</v>
      </c>
      <c r="O9" s="54">
        <f t="shared" si="1"/>
        <v>-82620009.75</v>
      </c>
      <c r="P9" s="54">
        <f t="shared" si="1"/>
        <v>-82855270.75</v>
      </c>
      <c r="Q9" s="54">
        <f t="shared" si="1"/>
        <v>-84265189.75</v>
      </c>
      <c r="R9" s="54">
        <f t="shared" si="1"/>
        <v>-85828204.75</v>
      </c>
      <c r="S9" s="54">
        <f t="shared" si="1"/>
        <v>-89871375.75</v>
      </c>
      <c r="T9" s="54">
        <f t="shared" si="1"/>
        <v>-89871375.75</v>
      </c>
      <c r="U9" s="54">
        <f t="shared" si="1"/>
        <v>-89871375.75</v>
      </c>
      <c r="V9" s="54">
        <f t="shared" si="1"/>
        <v>-89871375.75</v>
      </c>
      <c r="W9" s="54">
        <f t="shared" si="1"/>
        <v>-89871375.75</v>
      </c>
      <c r="X9" s="54">
        <f t="shared" si="1"/>
        <v>-89871375.75</v>
      </c>
      <c r="Y9" s="54">
        <f t="shared" si="1"/>
        <v>-89871375.75</v>
      </c>
      <c r="Z9" s="54">
        <f t="shared" si="1"/>
        <v>-89871375.75</v>
      </c>
      <c r="AA9" s="54">
        <f t="shared" si="1"/>
        <v>-89871375.75</v>
      </c>
      <c r="AB9" s="54">
        <f t="shared" si="1"/>
        <v>-89871375.75</v>
      </c>
      <c r="AC9" s="54">
        <f t="shared" si="1"/>
        <v>-89871375.75</v>
      </c>
      <c r="AD9" s="54">
        <f t="shared" si="1"/>
        <v>-89871375.75</v>
      </c>
      <c r="AE9" s="54">
        <f t="shared" si="1"/>
        <v>-89871375.75</v>
      </c>
      <c r="AF9" s="54">
        <f t="shared" si="1"/>
        <v>-89871375.75</v>
      </c>
      <c r="AG9" s="54">
        <f t="shared" si="1"/>
        <v>-89871375.75</v>
      </c>
      <c r="AH9" s="54">
        <f t="shared" si="1"/>
        <v>-89871375.75</v>
      </c>
      <c r="AI9" s="54">
        <f t="shared" si="1"/>
        <v>-89871375.75</v>
      </c>
      <c r="AJ9" s="54">
        <f t="shared" si="1"/>
        <v>-89871375.75</v>
      </c>
      <c r="AK9" s="54">
        <f t="shared" si="1"/>
        <v>-89871375.75</v>
      </c>
      <c r="AL9" s="54">
        <f t="shared" si="1"/>
        <v>-89871375.75</v>
      </c>
      <c r="AM9" s="54">
        <f t="shared" si="1"/>
        <v>-89871375.75</v>
      </c>
      <c r="AN9" s="54">
        <f t="shared" si="1"/>
        <v>-89871375.75</v>
      </c>
      <c r="AO9" s="54">
        <f t="shared" si="1"/>
        <v>-89871375.75</v>
      </c>
      <c r="AP9" s="54">
        <f t="shared" si="1"/>
        <v>-89871375.75</v>
      </c>
      <c r="AQ9" s="54">
        <f t="shared" si="1"/>
        <v>-89871375.75</v>
      </c>
      <c r="AR9" s="54">
        <f t="shared" si="1"/>
        <v>-89871375.75</v>
      </c>
      <c r="AS9" s="54">
        <f t="shared" si="1"/>
        <v>-89871375.75</v>
      </c>
      <c r="AT9" s="54">
        <f t="shared" si="1"/>
        <v>-89871375.75</v>
      </c>
      <c r="AU9" s="54">
        <f t="shared" si="1"/>
        <v>-89871375.75</v>
      </c>
      <c r="AV9" s="54">
        <f t="shared" si="1"/>
        <v>-89871375.75</v>
      </c>
      <c r="AW9" s="54">
        <f t="shared" si="1"/>
        <v>-89871375.75</v>
      </c>
      <c r="AX9" s="54">
        <f t="shared" si="1"/>
        <v>-89871375.75</v>
      </c>
      <c r="AY9" s="54">
        <f t="shared" si="1"/>
        <v>-89871375.75</v>
      </c>
      <c r="AZ9" s="54">
        <f t="shared" si="1"/>
        <v>-89871375.75</v>
      </c>
      <c r="BA9" s="54">
        <f t="shared" si="1"/>
        <v>-89871375.75</v>
      </c>
      <c r="BB9" s="54">
        <f t="shared" si="1"/>
        <v>-89871375.75</v>
      </c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</row>
    <row r="11">
      <c r="A11" s="6" t="s">
        <v>79</v>
      </c>
      <c r="B11" s="6" t="s">
        <v>80</v>
      </c>
      <c r="C11" s="6" t="s">
        <v>82</v>
      </c>
      <c r="D11" s="6" t="s">
        <v>84</v>
      </c>
      <c r="E11" s="6" t="s">
        <v>85</v>
      </c>
      <c r="F11" s="6" t="s">
        <v>86</v>
      </c>
      <c r="G11" s="6" t="s">
        <v>87</v>
      </c>
      <c r="H11" s="6" t="s">
        <v>88</v>
      </c>
      <c r="I11" s="6" t="s">
        <v>89</v>
      </c>
      <c r="J11" s="6" t="s">
        <v>90</v>
      </c>
      <c r="K11" s="6" t="s">
        <v>92</v>
      </c>
      <c r="L11" s="6" t="s">
        <v>93</v>
      </c>
      <c r="M11" s="6" t="s">
        <v>94</v>
      </c>
      <c r="N11" s="6" t="s">
        <v>95</v>
      </c>
      <c r="O11" s="6" t="s">
        <v>96</v>
      </c>
      <c r="P11" s="6" t="s">
        <v>98</v>
      </c>
      <c r="Q11" s="6" t="s">
        <v>99</v>
      </c>
      <c r="R11" s="6" t="s">
        <v>100</v>
      </c>
      <c r="S11" s="6" t="s">
        <v>101</v>
      </c>
      <c r="T11" s="6" t="s">
        <v>102</v>
      </c>
      <c r="U11" s="6" t="s">
        <v>103</v>
      </c>
      <c r="V11" s="6" t="s">
        <v>104</v>
      </c>
      <c r="W11" s="6" t="s">
        <v>105</v>
      </c>
      <c r="X11" s="6" t="s">
        <v>106</v>
      </c>
      <c r="Y11" s="6" t="s">
        <v>107</v>
      </c>
      <c r="Z11" s="6" t="s">
        <v>108</v>
      </c>
      <c r="AA11" s="6" t="s">
        <v>109</v>
      </c>
      <c r="AB11" s="6" t="s">
        <v>110</v>
      </c>
      <c r="AC11" s="6" t="s">
        <v>111</v>
      </c>
      <c r="AD11" s="6" t="s">
        <v>112</v>
      </c>
      <c r="AE11" s="6" t="s">
        <v>113</v>
      </c>
      <c r="AF11" s="6" t="s">
        <v>114</v>
      </c>
      <c r="AG11" s="6" t="s">
        <v>115</v>
      </c>
      <c r="AH11" s="6" t="s">
        <v>116</v>
      </c>
      <c r="AI11" s="6" t="s">
        <v>117</v>
      </c>
      <c r="AJ11" s="6" t="s">
        <v>118</v>
      </c>
      <c r="AK11" s="6" t="s">
        <v>119</v>
      </c>
      <c r="AL11" s="6" t="s">
        <v>120</v>
      </c>
      <c r="AM11" s="6" t="s">
        <v>121</v>
      </c>
      <c r="AN11" s="6" t="s">
        <v>122</v>
      </c>
      <c r="AO11" s="6" t="s">
        <v>123</v>
      </c>
      <c r="AP11" s="6" t="s">
        <v>124</v>
      </c>
      <c r="AQ11" s="6" t="s">
        <v>125</v>
      </c>
      <c r="AR11" s="6" t="s">
        <v>126</v>
      </c>
      <c r="AS11" s="6" t="s">
        <v>127</v>
      </c>
      <c r="AT11" s="6" t="s">
        <v>128</v>
      </c>
      <c r="AU11" s="6" t="s">
        <v>129</v>
      </c>
      <c r="AV11" s="6" t="s">
        <v>130</v>
      </c>
      <c r="AW11" s="6" t="s">
        <v>131</v>
      </c>
      <c r="AX11" s="6" t="s">
        <v>132</v>
      </c>
      <c r="AY11" s="6" t="s">
        <v>133</v>
      </c>
      <c r="AZ11" s="6" t="s">
        <v>134</v>
      </c>
      <c r="BA11" s="6" t="s">
        <v>135</v>
      </c>
      <c r="BB11" s="6" t="s">
        <v>136</v>
      </c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</row>
    <row r="12">
      <c r="A12" s="65" t="s">
        <v>138</v>
      </c>
      <c r="B12" s="67">
        <f t="shared" ref="B12:BB12" si="2">SUM(B13:B14)</f>
        <v>719585</v>
      </c>
      <c r="C12" s="67">
        <f t="shared" si="2"/>
        <v>1868172</v>
      </c>
      <c r="D12" s="67">
        <f t="shared" si="2"/>
        <v>2041090</v>
      </c>
      <c r="E12" s="67">
        <f t="shared" si="2"/>
        <v>0</v>
      </c>
      <c r="F12" s="67">
        <f t="shared" si="2"/>
        <v>0</v>
      </c>
      <c r="G12" s="67">
        <f t="shared" si="2"/>
        <v>0</v>
      </c>
      <c r="H12" s="67">
        <f t="shared" si="2"/>
        <v>4398</v>
      </c>
      <c r="I12" s="67">
        <f t="shared" si="2"/>
        <v>0</v>
      </c>
      <c r="J12" s="67">
        <f t="shared" si="2"/>
        <v>5500</v>
      </c>
      <c r="K12" s="67">
        <f t="shared" si="2"/>
        <v>530000</v>
      </c>
      <c r="L12" s="67">
        <f t="shared" si="2"/>
        <v>204091</v>
      </c>
      <c r="M12" s="67">
        <f t="shared" si="2"/>
        <v>0</v>
      </c>
      <c r="N12" s="67">
        <f t="shared" si="2"/>
        <v>39791</v>
      </c>
      <c r="O12" s="67">
        <f t="shared" si="2"/>
        <v>0</v>
      </c>
      <c r="P12" s="67">
        <f t="shared" si="2"/>
        <v>58724</v>
      </c>
      <c r="Q12" s="67">
        <f t="shared" si="2"/>
        <v>0</v>
      </c>
      <c r="R12" s="67">
        <f t="shared" si="2"/>
        <v>200000</v>
      </c>
      <c r="S12" s="67">
        <f t="shared" si="2"/>
        <v>0</v>
      </c>
      <c r="T12" s="67">
        <f t="shared" si="2"/>
        <v>0</v>
      </c>
      <c r="U12" s="67">
        <f t="shared" si="2"/>
        <v>0</v>
      </c>
      <c r="V12" s="67">
        <f t="shared" si="2"/>
        <v>0</v>
      </c>
      <c r="W12" s="67">
        <f t="shared" si="2"/>
        <v>0</v>
      </c>
      <c r="X12" s="67">
        <f t="shared" si="2"/>
        <v>0</v>
      </c>
      <c r="Y12" s="67">
        <f t="shared" si="2"/>
        <v>0</v>
      </c>
      <c r="Z12" s="67">
        <f t="shared" si="2"/>
        <v>0</v>
      </c>
      <c r="AA12" s="67">
        <f t="shared" si="2"/>
        <v>0</v>
      </c>
      <c r="AB12" s="67">
        <f t="shared" si="2"/>
        <v>0</v>
      </c>
      <c r="AC12" s="67">
        <f t="shared" si="2"/>
        <v>0</v>
      </c>
      <c r="AD12" s="67">
        <f t="shared" si="2"/>
        <v>0</v>
      </c>
      <c r="AE12" s="67">
        <f t="shared" si="2"/>
        <v>0</v>
      </c>
      <c r="AF12" s="67">
        <f t="shared" si="2"/>
        <v>0</v>
      </c>
      <c r="AG12" s="67">
        <f t="shared" si="2"/>
        <v>0</v>
      </c>
      <c r="AH12" s="67">
        <f t="shared" si="2"/>
        <v>0</v>
      </c>
      <c r="AI12" s="67">
        <f t="shared" si="2"/>
        <v>0</v>
      </c>
      <c r="AJ12" s="67">
        <f t="shared" si="2"/>
        <v>0</v>
      </c>
      <c r="AK12" s="67">
        <f t="shared" si="2"/>
        <v>0</v>
      </c>
      <c r="AL12" s="67">
        <f t="shared" si="2"/>
        <v>0</v>
      </c>
      <c r="AM12" s="67">
        <f t="shared" si="2"/>
        <v>0</v>
      </c>
      <c r="AN12" s="67">
        <f t="shared" si="2"/>
        <v>0</v>
      </c>
      <c r="AO12" s="67">
        <f t="shared" si="2"/>
        <v>0</v>
      </c>
      <c r="AP12" s="67">
        <f t="shared" si="2"/>
        <v>0</v>
      </c>
      <c r="AQ12" s="67">
        <f t="shared" si="2"/>
        <v>0</v>
      </c>
      <c r="AR12" s="67">
        <f t="shared" si="2"/>
        <v>0</v>
      </c>
      <c r="AS12" s="67">
        <f t="shared" si="2"/>
        <v>0</v>
      </c>
      <c r="AT12" s="67">
        <f t="shared" si="2"/>
        <v>0</v>
      </c>
      <c r="AU12" s="67">
        <f t="shared" si="2"/>
        <v>0</v>
      </c>
      <c r="AV12" s="67">
        <f t="shared" si="2"/>
        <v>0</v>
      </c>
      <c r="AW12" s="67">
        <f t="shared" si="2"/>
        <v>0</v>
      </c>
      <c r="AX12" s="67">
        <f t="shared" si="2"/>
        <v>0</v>
      </c>
      <c r="AY12" s="67">
        <f t="shared" si="2"/>
        <v>0</v>
      </c>
      <c r="AZ12" s="67">
        <f t="shared" si="2"/>
        <v>0</v>
      </c>
      <c r="BA12" s="67">
        <f t="shared" si="2"/>
        <v>0</v>
      </c>
      <c r="BB12" s="67">
        <f t="shared" si="2"/>
        <v>0</v>
      </c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  <c r="EB12" s="72"/>
      <c r="EC12" s="72"/>
      <c r="ED12" s="72"/>
      <c r="EE12" s="72"/>
      <c r="EF12" s="72"/>
    </row>
    <row r="13">
      <c r="A13" s="73" t="s">
        <v>149</v>
      </c>
      <c r="B13" s="74">
        <f>Registro!K342</f>
        <v>719585</v>
      </c>
      <c r="C13" s="74">
        <f>Registro!K341</f>
        <v>39644</v>
      </c>
      <c r="D13" s="74">
        <f>SUM(Registro!K339:K340)</f>
        <v>1208090</v>
      </c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6"/>
      <c r="S13" s="75"/>
      <c r="T13" s="75"/>
      <c r="U13" s="75"/>
      <c r="V13" s="75"/>
      <c r="W13" s="75"/>
      <c r="X13" s="75"/>
      <c r="Y13" s="75"/>
      <c r="Z13" s="75"/>
      <c r="AA13" s="74"/>
      <c r="AB13" s="75"/>
      <c r="AC13" s="75"/>
      <c r="AD13" s="75"/>
      <c r="AE13" s="75"/>
      <c r="AF13" s="74"/>
      <c r="AG13" s="75"/>
      <c r="AH13" s="75"/>
      <c r="AI13" s="75"/>
      <c r="AJ13" s="74"/>
      <c r="AK13" s="75"/>
      <c r="AL13" s="75"/>
      <c r="AM13" s="75"/>
      <c r="AN13" s="74"/>
      <c r="AO13" s="75"/>
      <c r="AP13" s="75"/>
      <c r="AQ13" s="75"/>
      <c r="AR13" s="75"/>
      <c r="AS13" s="74"/>
      <c r="AT13" s="75"/>
      <c r="AU13" s="75"/>
      <c r="AV13" s="75"/>
      <c r="AW13" s="74"/>
      <c r="AX13" s="75"/>
      <c r="AY13" s="75"/>
      <c r="AZ13" s="75"/>
      <c r="BA13" s="75"/>
      <c r="BB13" s="74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</row>
    <row r="14">
      <c r="A14" s="73" t="s">
        <v>152</v>
      </c>
      <c r="B14" s="75"/>
      <c r="C14" s="74">
        <f>SUM(Registro!K334:K338)</f>
        <v>1828528</v>
      </c>
      <c r="D14" s="74">
        <f>Registro!K337</f>
        <v>833000</v>
      </c>
      <c r="E14" s="75"/>
      <c r="F14" s="75"/>
      <c r="G14" s="75"/>
      <c r="H14" s="74">
        <f>Registro!K259+Registro!K263</f>
        <v>4398</v>
      </c>
      <c r="I14" s="75"/>
      <c r="J14" s="74">
        <f>Registro!K226</f>
        <v>5500</v>
      </c>
      <c r="K14" s="74">
        <f>Registro!K289+Registro!K290</f>
        <v>530000</v>
      </c>
      <c r="L14" s="74">
        <f>Registro!K195</f>
        <v>204091</v>
      </c>
      <c r="M14" s="75"/>
      <c r="N14" s="74">
        <f>Registro!K187</f>
        <v>39791</v>
      </c>
      <c r="O14" s="75"/>
      <c r="P14" s="77">
        <f>Registro!K177</f>
        <v>58724</v>
      </c>
      <c r="Q14" s="75"/>
      <c r="R14" s="74">
        <f>Registro!K150</f>
        <v>200000</v>
      </c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</row>
    <row r="16">
      <c r="A16" s="78" t="s">
        <v>155</v>
      </c>
      <c r="B16" s="79" t="s">
        <v>80</v>
      </c>
      <c r="C16" s="80" t="s">
        <v>82</v>
      </c>
      <c r="D16" s="80" t="s">
        <v>84</v>
      </c>
      <c r="E16" s="80" t="s">
        <v>85</v>
      </c>
      <c r="F16" s="80" t="s">
        <v>86</v>
      </c>
      <c r="G16" s="80" t="s">
        <v>87</v>
      </c>
      <c r="H16" s="80" t="s">
        <v>88</v>
      </c>
      <c r="I16" s="80" t="s">
        <v>89</v>
      </c>
      <c r="J16" s="80" t="s">
        <v>90</v>
      </c>
      <c r="K16" s="80" t="s">
        <v>92</v>
      </c>
      <c r="L16" s="80" t="s">
        <v>93</v>
      </c>
      <c r="M16" s="80" t="s">
        <v>94</v>
      </c>
      <c r="N16" s="80" t="s">
        <v>95</v>
      </c>
      <c r="O16" s="80" t="s">
        <v>96</v>
      </c>
      <c r="P16" s="80" t="s">
        <v>98</v>
      </c>
      <c r="Q16" s="80" t="s">
        <v>99</v>
      </c>
      <c r="R16" s="80" t="s">
        <v>100</v>
      </c>
      <c r="S16" s="80" t="s">
        <v>101</v>
      </c>
      <c r="T16" s="80" t="s">
        <v>102</v>
      </c>
      <c r="U16" s="80" t="s">
        <v>103</v>
      </c>
      <c r="V16" s="80" t="s">
        <v>104</v>
      </c>
      <c r="W16" s="80" t="s">
        <v>105</v>
      </c>
      <c r="X16" s="81" t="s">
        <v>106</v>
      </c>
      <c r="Y16" s="81" t="s">
        <v>107</v>
      </c>
      <c r="Z16" s="81" t="s">
        <v>108</v>
      </c>
      <c r="AA16" s="81" t="s">
        <v>109</v>
      </c>
      <c r="AB16" s="81" t="s">
        <v>110</v>
      </c>
      <c r="AC16" s="81" t="s">
        <v>111</v>
      </c>
      <c r="AD16" s="81" t="s">
        <v>112</v>
      </c>
      <c r="AE16" s="81" t="s">
        <v>113</v>
      </c>
      <c r="AF16" s="81" t="s">
        <v>114</v>
      </c>
      <c r="AG16" s="81" t="s">
        <v>115</v>
      </c>
      <c r="AH16" s="81" t="s">
        <v>116</v>
      </c>
      <c r="AI16" s="81" t="s">
        <v>117</v>
      </c>
      <c r="AJ16" s="81" t="s">
        <v>118</v>
      </c>
      <c r="AK16" s="81" t="s">
        <v>119</v>
      </c>
      <c r="AL16" s="81" t="s">
        <v>120</v>
      </c>
      <c r="AM16" s="81" t="s">
        <v>121</v>
      </c>
      <c r="AN16" s="81" t="s">
        <v>122</v>
      </c>
      <c r="AO16" s="81" t="s">
        <v>123</v>
      </c>
      <c r="AP16" s="81" t="s">
        <v>124</v>
      </c>
      <c r="AQ16" s="81" t="s">
        <v>125</v>
      </c>
      <c r="AR16" s="81" t="s">
        <v>126</v>
      </c>
      <c r="AS16" s="81" t="s">
        <v>127</v>
      </c>
      <c r="AT16" s="81" t="s">
        <v>128</v>
      </c>
      <c r="AU16" s="81" t="s">
        <v>129</v>
      </c>
      <c r="AV16" s="81" t="s">
        <v>130</v>
      </c>
      <c r="AW16" s="81" t="s">
        <v>131</v>
      </c>
      <c r="AX16" s="81" t="s">
        <v>132</v>
      </c>
      <c r="AY16" s="81" t="s">
        <v>133</v>
      </c>
      <c r="AZ16" s="81" t="s">
        <v>134</v>
      </c>
      <c r="BA16" s="81" t="s">
        <v>135</v>
      </c>
      <c r="BB16" s="81" t="s">
        <v>136</v>
      </c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</row>
    <row r="17">
      <c r="A17" s="65" t="s">
        <v>157</v>
      </c>
      <c r="B17" s="67">
        <f t="shared" ref="B17:BB17" si="3">SUM(B18:B21)</f>
        <v>6048508</v>
      </c>
      <c r="C17" s="67">
        <f t="shared" si="3"/>
        <v>28555000</v>
      </c>
      <c r="D17" s="67">
        <f t="shared" si="3"/>
        <v>4771540.75</v>
      </c>
      <c r="E17" s="67">
        <f t="shared" si="3"/>
        <v>1969786</v>
      </c>
      <c r="F17" s="67">
        <f t="shared" si="3"/>
        <v>5042707</v>
      </c>
      <c r="G17" s="67">
        <f t="shared" si="3"/>
        <v>24424389</v>
      </c>
      <c r="H17" s="67">
        <f t="shared" si="3"/>
        <v>4539166</v>
      </c>
      <c r="I17" s="67">
        <f t="shared" si="3"/>
        <v>2068000</v>
      </c>
      <c r="J17" s="67">
        <f t="shared" si="3"/>
        <v>1064407</v>
      </c>
      <c r="K17" s="67">
        <f t="shared" si="3"/>
        <v>5038463</v>
      </c>
      <c r="L17" s="67">
        <f t="shared" si="3"/>
        <v>1907671</v>
      </c>
      <c r="M17" s="67">
        <f t="shared" si="3"/>
        <v>100000</v>
      </c>
      <c r="N17" s="67">
        <f t="shared" si="3"/>
        <v>2502999</v>
      </c>
      <c r="O17" s="67">
        <f t="shared" si="3"/>
        <v>235261</v>
      </c>
      <c r="P17" s="67">
        <f t="shared" si="3"/>
        <v>1468643</v>
      </c>
      <c r="Q17" s="67">
        <f t="shared" si="3"/>
        <v>1563015</v>
      </c>
      <c r="R17" s="67">
        <f t="shared" si="3"/>
        <v>4243171</v>
      </c>
      <c r="S17" s="67">
        <f t="shared" si="3"/>
        <v>0</v>
      </c>
      <c r="T17" s="67">
        <f t="shared" si="3"/>
        <v>0</v>
      </c>
      <c r="U17" s="67">
        <f t="shared" si="3"/>
        <v>0</v>
      </c>
      <c r="V17" s="67">
        <f t="shared" si="3"/>
        <v>0</v>
      </c>
      <c r="W17" s="67">
        <f t="shared" si="3"/>
        <v>0</v>
      </c>
      <c r="X17" s="67">
        <f t="shared" si="3"/>
        <v>0</v>
      </c>
      <c r="Y17" s="67">
        <f t="shared" si="3"/>
        <v>0</v>
      </c>
      <c r="Z17" s="67">
        <f t="shared" si="3"/>
        <v>0</v>
      </c>
      <c r="AA17" s="67">
        <f t="shared" si="3"/>
        <v>0</v>
      </c>
      <c r="AB17" s="67">
        <f t="shared" si="3"/>
        <v>0</v>
      </c>
      <c r="AC17" s="67">
        <f t="shared" si="3"/>
        <v>0</v>
      </c>
      <c r="AD17" s="67">
        <f t="shared" si="3"/>
        <v>0</v>
      </c>
      <c r="AE17" s="67">
        <f t="shared" si="3"/>
        <v>0</v>
      </c>
      <c r="AF17" s="67">
        <f t="shared" si="3"/>
        <v>0</v>
      </c>
      <c r="AG17" s="67">
        <f t="shared" si="3"/>
        <v>0</v>
      </c>
      <c r="AH17" s="67">
        <f t="shared" si="3"/>
        <v>0</v>
      </c>
      <c r="AI17" s="67">
        <f t="shared" si="3"/>
        <v>0</v>
      </c>
      <c r="AJ17" s="67">
        <f t="shared" si="3"/>
        <v>0</v>
      </c>
      <c r="AK17" s="67">
        <f t="shared" si="3"/>
        <v>0</v>
      </c>
      <c r="AL17" s="67">
        <f t="shared" si="3"/>
        <v>0</v>
      </c>
      <c r="AM17" s="67">
        <f t="shared" si="3"/>
        <v>0</v>
      </c>
      <c r="AN17" s="67">
        <f t="shared" si="3"/>
        <v>0</v>
      </c>
      <c r="AO17" s="67">
        <f t="shared" si="3"/>
        <v>0</v>
      </c>
      <c r="AP17" s="67">
        <f t="shared" si="3"/>
        <v>0</v>
      </c>
      <c r="AQ17" s="67">
        <f t="shared" si="3"/>
        <v>0</v>
      </c>
      <c r="AR17" s="67">
        <f t="shared" si="3"/>
        <v>0</v>
      </c>
      <c r="AS17" s="67">
        <f t="shared" si="3"/>
        <v>0</v>
      </c>
      <c r="AT17" s="67">
        <f t="shared" si="3"/>
        <v>0</v>
      </c>
      <c r="AU17" s="67">
        <f t="shared" si="3"/>
        <v>0</v>
      </c>
      <c r="AV17" s="67">
        <f t="shared" si="3"/>
        <v>0</v>
      </c>
      <c r="AW17" s="67">
        <f t="shared" si="3"/>
        <v>0</v>
      </c>
      <c r="AX17" s="67">
        <f t="shared" si="3"/>
        <v>0</v>
      </c>
      <c r="AY17" s="67">
        <f t="shared" si="3"/>
        <v>0</v>
      </c>
      <c r="AZ17" s="67">
        <f t="shared" si="3"/>
        <v>0</v>
      </c>
      <c r="BA17" s="67">
        <f t="shared" si="3"/>
        <v>0</v>
      </c>
      <c r="BB17" s="67">
        <f t="shared" si="3"/>
        <v>0</v>
      </c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82"/>
      <c r="CY17" s="82"/>
      <c r="CZ17" s="82"/>
      <c r="DA17" s="82"/>
      <c r="DB17" s="82"/>
      <c r="DC17" s="82"/>
      <c r="DD17" s="82"/>
      <c r="DE17" s="82"/>
      <c r="DF17" s="82"/>
      <c r="DG17" s="82"/>
      <c r="DH17" s="82"/>
      <c r="DI17" s="82"/>
      <c r="DJ17" s="82"/>
      <c r="DK17" s="82"/>
      <c r="DL17" s="82"/>
      <c r="DM17" s="82"/>
      <c r="DN17" s="82"/>
      <c r="DO17" s="82"/>
      <c r="DP17" s="82"/>
      <c r="DQ17" s="82"/>
      <c r="DR17" s="82"/>
      <c r="DS17" s="82"/>
      <c r="DT17" s="82"/>
      <c r="DU17" s="82"/>
      <c r="DV17" s="82"/>
      <c r="DW17" s="82"/>
      <c r="DX17" s="82"/>
      <c r="DY17" s="82"/>
      <c r="DZ17" s="82"/>
      <c r="EA17" s="82"/>
      <c r="EB17" s="82"/>
      <c r="EC17" s="82"/>
      <c r="ED17" s="82"/>
      <c r="EE17" s="82"/>
      <c r="EF17" s="82"/>
    </row>
    <row r="18">
      <c r="A18" s="73" t="s">
        <v>158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83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4"/>
      <c r="AB18" s="75"/>
      <c r="AC18" s="75"/>
      <c r="AD18" s="75"/>
      <c r="AE18" s="75"/>
      <c r="AF18" s="74"/>
      <c r="AG18" s="75"/>
      <c r="AH18" s="75"/>
      <c r="AI18" s="75"/>
      <c r="AJ18" s="74"/>
      <c r="AK18" s="75"/>
      <c r="AL18" s="75"/>
      <c r="AM18" s="75"/>
      <c r="AN18" s="74"/>
      <c r="AO18" s="75"/>
      <c r="AP18" s="75"/>
      <c r="AQ18" s="75"/>
      <c r="AR18" s="75"/>
      <c r="AS18" s="74"/>
      <c r="AT18" s="75"/>
      <c r="AU18" s="75"/>
      <c r="AV18" s="75"/>
      <c r="AW18" s="74"/>
      <c r="AX18" s="83"/>
      <c r="AY18" s="83"/>
      <c r="AZ18" s="83"/>
      <c r="BA18" s="83"/>
      <c r="BB18" s="74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</row>
    <row r="19">
      <c r="A19" s="73" t="s">
        <v>160</v>
      </c>
      <c r="B19" s="84">
        <f>SUM(Registro!K293:K296)</f>
        <v>4143250</v>
      </c>
      <c r="C19" s="74">
        <f>Registro!K292</f>
        <v>300000</v>
      </c>
      <c r="D19" s="74">
        <f>Registro!K283+Registro!K284+Registro!K286+Registro!K291</f>
        <v>1296458</v>
      </c>
      <c r="E19" s="74">
        <f>Registro!K281</f>
        <v>6000</v>
      </c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8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</row>
    <row r="20">
      <c r="A20" s="73" t="s">
        <v>162</v>
      </c>
      <c r="B20" s="85">
        <f>Registro!K280</f>
        <v>45258</v>
      </c>
      <c r="C20" s="85">
        <f>SUM(Registro!K235:K238)</f>
        <v>8034972</v>
      </c>
      <c r="D20" s="85">
        <f>SUM(Registro!K275:K279)</f>
        <v>114371.75</v>
      </c>
      <c r="E20" s="83"/>
      <c r="F20" s="85">
        <f>Registro!K273+Registro!K274</f>
        <v>855886</v>
      </c>
      <c r="G20" s="85">
        <f>Registro!K261</f>
        <v>3973</v>
      </c>
      <c r="H20" s="85">
        <f>SUM(Registro!K229:K233)</f>
        <v>208761</v>
      </c>
      <c r="I20" s="85">
        <f>Registro!K243+Registro!K244</f>
        <v>2068000</v>
      </c>
      <c r="J20" s="83"/>
      <c r="K20" s="85">
        <f>Registro!K196+Registro!K197+Registro!K199+Registro!K200+Registro!K201+Registro!K210+Registro!K211+Registro!K213+Registro!K216+Registro!K219+Registro!K222+Registro!K287+Registro!K288</f>
        <v>4681976</v>
      </c>
      <c r="L20" s="85">
        <f>Registro!K191+Registro!K192+Registro!K194</f>
        <v>1907671</v>
      </c>
      <c r="M20" s="85">
        <f>Registro!K190</f>
        <v>100000</v>
      </c>
      <c r="N20" s="85">
        <f>Registro!K179+Registro!K180+Registro!K181+Registro!K182</f>
        <v>201814</v>
      </c>
      <c r="O20" s="85">
        <f>Registro!K90+Registro!K113+Registro!K120+Registro!K174+Registro!K178</f>
        <v>235261</v>
      </c>
      <c r="P20" s="74">
        <f>SUM(Registro!K172,Registro!K173,Registro!K175)</f>
        <v>582147</v>
      </c>
      <c r="Q20" s="74">
        <f>Registro!K160+Registro!K161+Registro!K163+Registro!K165</f>
        <v>1484414</v>
      </c>
      <c r="R20" s="76">
        <f>Registro!K155</f>
        <v>39842</v>
      </c>
      <c r="S20" s="75"/>
      <c r="T20" s="75"/>
      <c r="U20" s="75"/>
      <c r="V20" s="75"/>
      <c r="W20" s="74"/>
      <c r="X20" s="83"/>
      <c r="Y20" s="83"/>
      <c r="Z20" s="83"/>
      <c r="AA20" s="74"/>
      <c r="AB20" s="83"/>
      <c r="AC20" s="83"/>
      <c r="AD20" s="83"/>
      <c r="AE20" s="83"/>
      <c r="AF20" s="74"/>
      <c r="AG20" s="83"/>
      <c r="AH20" s="83"/>
      <c r="AI20" s="83"/>
      <c r="AJ20" s="74"/>
      <c r="AK20" s="83"/>
      <c r="AL20" s="83"/>
      <c r="AM20" s="83"/>
      <c r="AN20" s="74"/>
      <c r="AO20" s="83"/>
      <c r="AP20" s="83"/>
      <c r="AQ20" s="83"/>
      <c r="AR20" s="83"/>
      <c r="AS20" s="74"/>
      <c r="AT20" s="83"/>
      <c r="AU20" s="83"/>
      <c r="AV20" s="83"/>
      <c r="AW20" s="74"/>
      <c r="AX20" s="83"/>
      <c r="AY20" s="83"/>
      <c r="AZ20" s="83"/>
      <c r="BA20" s="83"/>
      <c r="BB20" s="74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</row>
    <row r="21">
      <c r="A21" s="73" t="s">
        <v>163</v>
      </c>
      <c r="B21" s="74">
        <f>SUM(Registro!K330:K333)</f>
        <v>1860000</v>
      </c>
      <c r="C21" s="74">
        <f>SUM(Registro!K300:K329)</f>
        <v>20220028</v>
      </c>
      <c r="D21" s="74">
        <f>SUM(Registro!K315:K325)</f>
        <v>3360711</v>
      </c>
      <c r="E21" s="74">
        <f>Registro!K298+Registro!K299+Registro!K313</f>
        <v>1963786</v>
      </c>
      <c r="F21" s="74">
        <f>SUM(Registro!K308:K311)</f>
        <v>4186821</v>
      </c>
      <c r="G21" s="74">
        <f>Registro!K297+Registro!K302+Registro!K303+Registro!K304+Registro!K305+Registro!K306+Registro!K307</f>
        <v>24420416</v>
      </c>
      <c r="H21" s="74">
        <f>Registro!K234+Registro!K245+Registro!K258</f>
        <v>4330405</v>
      </c>
      <c r="I21" s="75"/>
      <c r="J21" s="74">
        <f>Registro!K236</f>
        <v>1064407</v>
      </c>
      <c r="K21" s="74">
        <f>Registro!K212+Registro!K198</f>
        <v>356487</v>
      </c>
      <c r="L21" s="75"/>
      <c r="M21" s="75"/>
      <c r="N21" s="74">
        <f>Registro!K188+Registro!K186+Registro!K184</f>
        <v>2301185</v>
      </c>
      <c r="O21" s="75"/>
      <c r="P21" s="74">
        <f>SUM(Registro!K168,Registro!K171,Registro!K169,Registro!K170)</f>
        <v>886496</v>
      </c>
      <c r="Q21" s="74">
        <f>Registro!K164</f>
        <v>78601</v>
      </c>
      <c r="R21" s="74">
        <f>SUM(Registro!K146:K148)</f>
        <v>4203329</v>
      </c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</row>
    <row r="23">
      <c r="A23" s="78" t="s">
        <v>166</v>
      </c>
      <c r="B23" s="79" t="s">
        <v>80</v>
      </c>
      <c r="C23" s="80" t="s">
        <v>82</v>
      </c>
      <c r="D23" s="80" t="s">
        <v>84</v>
      </c>
      <c r="E23" s="80" t="s">
        <v>85</v>
      </c>
      <c r="F23" s="80" t="s">
        <v>86</v>
      </c>
      <c r="G23" s="80" t="s">
        <v>87</v>
      </c>
      <c r="H23" s="80" t="s">
        <v>88</v>
      </c>
      <c r="I23" s="80" t="s">
        <v>89</v>
      </c>
      <c r="J23" s="80" t="s">
        <v>90</v>
      </c>
      <c r="K23" s="80" t="s">
        <v>92</v>
      </c>
      <c r="L23" s="80" t="s">
        <v>93</v>
      </c>
      <c r="M23" s="80" t="s">
        <v>94</v>
      </c>
      <c r="N23" s="80" t="s">
        <v>95</v>
      </c>
      <c r="O23" s="80" t="s">
        <v>96</v>
      </c>
      <c r="P23" s="80" t="s">
        <v>98</v>
      </c>
      <c r="Q23" s="80" t="s">
        <v>99</v>
      </c>
      <c r="R23" s="80" t="s">
        <v>100</v>
      </c>
      <c r="S23" s="80" t="s">
        <v>101</v>
      </c>
      <c r="T23" s="80" t="s">
        <v>102</v>
      </c>
      <c r="U23" s="80" t="s">
        <v>103</v>
      </c>
      <c r="V23" s="80" t="s">
        <v>104</v>
      </c>
      <c r="W23" s="80" t="s">
        <v>105</v>
      </c>
      <c r="X23" s="80" t="s">
        <v>106</v>
      </c>
      <c r="Y23" s="80" t="s">
        <v>107</v>
      </c>
      <c r="Z23" s="80" t="s">
        <v>108</v>
      </c>
      <c r="AA23" s="80" t="s">
        <v>109</v>
      </c>
      <c r="AB23" s="80" t="s">
        <v>110</v>
      </c>
      <c r="AC23" s="80" t="s">
        <v>111</v>
      </c>
      <c r="AD23" s="80" t="s">
        <v>112</v>
      </c>
      <c r="AE23" s="80" t="s">
        <v>113</v>
      </c>
      <c r="AF23" s="80" t="s">
        <v>114</v>
      </c>
      <c r="AG23" s="80" t="s">
        <v>115</v>
      </c>
      <c r="AH23" s="80" t="s">
        <v>116</v>
      </c>
      <c r="AI23" s="80" t="s">
        <v>117</v>
      </c>
      <c r="AJ23" s="80" t="s">
        <v>118</v>
      </c>
      <c r="AK23" s="80" t="s">
        <v>119</v>
      </c>
      <c r="AL23" s="80" t="s">
        <v>120</v>
      </c>
      <c r="AM23" s="80" t="s">
        <v>121</v>
      </c>
      <c r="AN23" s="80" t="s">
        <v>122</v>
      </c>
      <c r="AO23" s="80" t="s">
        <v>123</v>
      </c>
      <c r="AP23" s="80" t="s">
        <v>124</v>
      </c>
      <c r="AQ23" s="80" t="s">
        <v>125</v>
      </c>
      <c r="AR23" s="80" t="s">
        <v>126</v>
      </c>
      <c r="AS23" s="80" t="s">
        <v>127</v>
      </c>
      <c r="AT23" s="80" t="s">
        <v>128</v>
      </c>
      <c r="AU23" s="80" t="s">
        <v>129</v>
      </c>
      <c r="AV23" s="80" t="s">
        <v>130</v>
      </c>
      <c r="AW23" s="80" t="s">
        <v>131</v>
      </c>
      <c r="AX23" s="80" t="s">
        <v>132</v>
      </c>
      <c r="AY23" s="80" t="s">
        <v>133</v>
      </c>
      <c r="AZ23" s="80" t="s">
        <v>134</v>
      </c>
      <c r="BA23" s="80" t="s">
        <v>135</v>
      </c>
      <c r="BB23" s="80" t="s">
        <v>136</v>
      </c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</row>
    <row r="24">
      <c r="A24" s="73" t="s">
        <v>168</v>
      </c>
      <c r="B24" s="87">
        <f t="shared" ref="B24:BB24" si="4">B12-B17</f>
        <v>-5328923</v>
      </c>
      <c r="C24" s="87">
        <f t="shared" si="4"/>
        <v>-26686828</v>
      </c>
      <c r="D24" s="87">
        <f t="shared" si="4"/>
        <v>-2730450.75</v>
      </c>
      <c r="E24" s="87">
        <f t="shared" si="4"/>
        <v>-1969786</v>
      </c>
      <c r="F24" s="87">
        <f t="shared" si="4"/>
        <v>-5042707</v>
      </c>
      <c r="G24" s="87">
        <f t="shared" si="4"/>
        <v>-24424389</v>
      </c>
      <c r="H24" s="87">
        <f t="shared" si="4"/>
        <v>-4534768</v>
      </c>
      <c r="I24" s="87">
        <f t="shared" si="4"/>
        <v>-2068000</v>
      </c>
      <c r="J24" s="87">
        <f t="shared" si="4"/>
        <v>-1058907</v>
      </c>
      <c r="K24" s="87">
        <f t="shared" si="4"/>
        <v>-4508463</v>
      </c>
      <c r="L24" s="87">
        <f t="shared" si="4"/>
        <v>-1703580</v>
      </c>
      <c r="M24" s="87">
        <f t="shared" si="4"/>
        <v>-100000</v>
      </c>
      <c r="N24" s="87">
        <f t="shared" si="4"/>
        <v>-2463208</v>
      </c>
      <c r="O24" s="87">
        <f t="shared" si="4"/>
        <v>-235261</v>
      </c>
      <c r="P24" s="87">
        <f t="shared" si="4"/>
        <v>-1409919</v>
      </c>
      <c r="Q24" s="87">
        <f t="shared" si="4"/>
        <v>-1563015</v>
      </c>
      <c r="R24" s="87">
        <f t="shared" si="4"/>
        <v>-4043171</v>
      </c>
      <c r="S24" s="87">
        <f t="shared" si="4"/>
        <v>0</v>
      </c>
      <c r="T24" s="87">
        <f t="shared" si="4"/>
        <v>0</v>
      </c>
      <c r="U24" s="87">
        <f t="shared" si="4"/>
        <v>0</v>
      </c>
      <c r="V24" s="87">
        <f t="shared" si="4"/>
        <v>0</v>
      </c>
      <c r="W24" s="87">
        <f t="shared" si="4"/>
        <v>0</v>
      </c>
      <c r="X24" s="87">
        <f t="shared" si="4"/>
        <v>0</v>
      </c>
      <c r="Y24" s="87">
        <f t="shared" si="4"/>
        <v>0</v>
      </c>
      <c r="Z24" s="87">
        <f t="shared" si="4"/>
        <v>0</v>
      </c>
      <c r="AA24" s="87">
        <f t="shared" si="4"/>
        <v>0</v>
      </c>
      <c r="AB24" s="87">
        <f t="shared" si="4"/>
        <v>0</v>
      </c>
      <c r="AC24" s="87">
        <f t="shared" si="4"/>
        <v>0</v>
      </c>
      <c r="AD24" s="87">
        <f t="shared" si="4"/>
        <v>0</v>
      </c>
      <c r="AE24" s="87">
        <f t="shared" si="4"/>
        <v>0</v>
      </c>
      <c r="AF24" s="87">
        <f t="shared" si="4"/>
        <v>0</v>
      </c>
      <c r="AG24" s="87">
        <f t="shared" si="4"/>
        <v>0</v>
      </c>
      <c r="AH24" s="87">
        <f t="shared" si="4"/>
        <v>0</v>
      </c>
      <c r="AI24" s="87">
        <f t="shared" si="4"/>
        <v>0</v>
      </c>
      <c r="AJ24" s="87">
        <f t="shared" si="4"/>
        <v>0</v>
      </c>
      <c r="AK24" s="87">
        <f t="shared" si="4"/>
        <v>0</v>
      </c>
      <c r="AL24" s="87">
        <f t="shared" si="4"/>
        <v>0</v>
      </c>
      <c r="AM24" s="87">
        <f t="shared" si="4"/>
        <v>0</v>
      </c>
      <c r="AN24" s="87">
        <f t="shared" si="4"/>
        <v>0</v>
      </c>
      <c r="AO24" s="87">
        <f t="shared" si="4"/>
        <v>0</v>
      </c>
      <c r="AP24" s="87">
        <f t="shared" si="4"/>
        <v>0</v>
      </c>
      <c r="AQ24" s="87">
        <f t="shared" si="4"/>
        <v>0</v>
      </c>
      <c r="AR24" s="87">
        <f t="shared" si="4"/>
        <v>0</v>
      </c>
      <c r="AS24" s="87">
        <f t="shared" si="4"/>
        <v>0</v>
      </c>
      <c r="AT24" s="87">
        <f t="shared" si="4"/>
        <v>0</v>
      </c>
      <c r="AU24" s="87">
        <f t="shared" si="4"/>
        <v>0</v>
      </c>
      <c r="AV24" s="87">
        <f t="shared" si="4"/>
        <v>0</v>
      </c>
      <c r="AW24" s="87">
        <f t="shared" si="4"/>
        <v>0</v>
      </c>
      <c r="AX24" s="87">
        <f t="shared" si="4"/>
        <v>0</v>
      </c>
      <c r="AY24" s="87">
        <f t="shared" si="4"/>
        <v>0</v>
      </c>
      <c r="AZ24" s="87">
        <f t="shared" si="4"/>
        <v>0</v>
      </c>
      <c r="BA24" s="87">
        <f t="shared" si="4"/>
        <v>0</v>
      </c>
      <c r="BB24" s="87">
        <f t="shared" si="4"/>
        <v>0</v>
      </c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</row>
    <row r="25">
      <c r="A25" s="73" t="s">
        <v>171</v>
      </c>
      <c r="B25" s="87">
        <f t="shared" ref="B25:BB25" si="5">B9+B12-B17</f>
        <v>-5328923</v>
      </c>
      <c r="C25" s="87">
        <f t="shared" si="5"/>
        <v>-32015751</v>
      </c>
      <c r="D25" s="87">
        <f t="shared" si="5"/>
        <v>-34746201.75</v>
      </c>
      <c r="E25" s="87">
        <f t="shared" si="5"/>
        <v>-36715987.75</v>
      </c>
      <c r="F25" s="87">
        <f t="shared" si="5"/>
        <v>-41758694.75</v>
      </c>
      <c r="G25" s="87">
        <f t="shared" si="5"/>
        <v>-66183083.75</v>
      </c>
      <c r="H25" s="87">
        <f t="shared" si="5"/>
        <v>-70717851.75</v>
      </c>
      <c r="I25" s="87">
        <f t="shared" si="5"/>
        <v>-72785851.75</v>
      </c>
      <c r="J25" s="87">
        <f t="shared" si="5"/>
        <v>-73844758.75</v>
      </c>
      <c r="K25" s="87">
        <f t="shared" si="5"/>
        <v>-78353221.75</v>
      </c>
      <c r="L25" s="87">
        <f t="shared" si="5"/>
        <v>-80056801.75</v>
      </c>
      <c r="M25" s="87">
        <f t="shared" si="5"/>
        <v>-80156801.75</v>
      </c>
      <c r="N25" s="87">
        <f t="shared" si="5"/>
        <v>-82620009.75</v>
      </c>
      <c r="O25" s="87">
        <f t="shared" si="5"/>
        <v>-82855270.75</v>
      </c>
      <c r="P25" s="87">
        <f t="shared" si="5"/>
        <v>-84265189.75</v>
      </c>
      <c r="Q25" s="87">
        <f t="shared" si="5"/>
        <v>-85828204.75</v>
      </c>
      <c r="R25" s="87">
        <f t="shared" si="5"/>
        <v>-89871375.75</v>
      </c>
      <c r="S25" s="87">
        <f t="shared" si="5"/>
        <v>-89871375.75</v>
      </c>
      <c r="T25" s="87">
        <f t="shared" si="5"/>
        <v>-89871375.75</v>
      </c>
      <c r="U25" s="87">
        <f t="shared" si="5"/>
        <v>-89871375.75</v>
      </c>
      <c r="V25" s="87">
        <f t="shared" si="5"/>
        <v>-89871375.75</v>
      </c>
      <c r="W25" s="87">
        <f t="shared" si="5"/>
        <v>-89871375.75</v>
      </c>
      <c r="X25" s="87">
        <f t="shared" si="5"/>
        <v>-89871375.75</v>
      </c>
      <c r="Y25" s="87">
        <f t="shared" si="5"/>
        <v>-89871375.75</v>
      </c>
      <c r="Z25" s="87">
        <f t="shared" si="5"/>
        <v>-89871375.75</v>
      </c>
      <c r="AA25" s="87">
        <f t="shared" si="5"/>
        <v>-89871375.75</v>
      </c>
      <c r="AB25" s="87">
        <f t="shared" si="5"/>
        <v>-89871375.75</v>
      </c>
      <c r="AC25" s="87">
        <f t="shared" si="5"/>
        <v>-89871375.75</v>
      </c>
      <c r="AD25" s="87">
        <f t="shared" si="5"/>
        <v>-89871375.75</v>
      </c>
      <c r="AE25" s="87">
        <f t="shared" si="5"/>
        <v>-89871375.75</v>
      </c>
      <c r="AF25" s="87">
        <f t="shared" si="5"/>
        <v>-89871375.75</v>
      </c>
      <c r="AG25" s="87">
        <f t="shared" si="5"/>
        <v>-89871375.75</v>
      </c>
      <c r="AH25" s="87">
        <f t="shared" si="5"/>
        <v>-89871375.75</v>
      </c>
      <c r="AI25" s="87">
        <f t="shared" si="5"/>
        <v>-89871375.75</v>
      </c>
      <c r="AJ25" s="87">
        <f t="shared" si="5"/>
        <v>-89871375.75</v>
      </c>
      <c r="AK25" s="87">
        <f t="shared" si="5"/>
        <v>-89871375.75</v>
      </c>
      <c r="AL25" s="87">
        <f t="shared" si="5"/>
        <v>-89871375.75</v>
      </c>
      <c r="AM25" s="87">
        <f t="shared" si="5"/>
        <v>-89871375.75</v>
      </c>
      <c r="AN25" s="87">
        <f t="shared" si="5"/>
        <v>-89871375.75</v>
      </c>
      <c r="AO25" s="87">
        <f t="shared" si="5"/>
        <v>-89871375.75</v>
      </c>
      <c r="AP25" s="87">
        <f t="shared" si="5"/>
        <v>-89871375.75</v>
      </c>
      <c r="AQ25" s="87">
        <f t="shared" si="5"/>
        <v>-89871375.75</v>
      </c>
      <c r="AR25" s="87">
        <f t="shared" si="5"/>
        <v>-89871375.75</v>
      </c>
      <c r="AS25" s="87">
        <f t="shared" si="5"/>
        <v>-89871375.75</v>
      </c>
      <c r="AT25" s="87">
        <f t="shared" si="5"/>
        <v>-89871375.75</v>
      </c>
      <c r="AU25" s="87">
        <f t="shared" si="5"/>
        <v>-89871375.75</v>
      </c>
      <c r="AV25" s="87">
        <f t="shared" si="5"/>
        <v>-89871375.75</v>
      </c>
      <c r="AW25" s="87">
        <f t="shared" si="5"/>
        <v>-89871375.75</v>
      </c>
      <c r="AX25" s="87">
        <f t="shared" si="5"/>
        <v>-89871375.75</v>
      </c>
      <c r="AY25" s="87">
        <f t="shared" si="5"/>
        <v>-89871375.75</v>
      </c>
      <c r="AZ25" s="87">
        <f t="shared" si="5"/>
        <v>-89871375.75</v>
      </c>
      <c r="BA25" s="87">
        <f t="shared" si="5"/>
        <v>-89871375.75</v>
      </c>
      <c r="BB25" s="87">
        <f t="shared" si="5"/>
        <v>-89871375.75</v>
      </c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</row>
    <row r="26">
      <c r="A26" s="73" t="s">
        <v>65</v>
      </c>
      <c r="B26" s="87" t="str">
        <f t="shared" ref="B26:BB26" si="6">B9</f>
        <v/>
      </c>
      <c r="C26" s="87">
        <f t="shared" si="6"/>
        <v>-5328923</v>
      </c>
      <c r="D26" s="87">
        <f t="shared" si="6"/>
        <v>-32015751</v>
      </c>
      <c r="E26" s="87">
        <f t="shared" si="6"/>
        <v>-34746201.75</v>
      </c>
      <c r="F26" s="87">
        <f t="shared" si="6"/>
        <v>-36715987.75</v>
      </c>
      <c r="G26" s="87">
        <f t="shared" si="6"/>
        <v>-41758694.75</v>
      </c>
      <c r="H26" s="87">
        <f t="shared" si="6"/>
        <v>-66183083.75</v>
      </c>
      <c r="I26" s="87">
        <f t="shared" si="6"/>
        <v>-70717851.75</v>
      </c>
      <c r="J26" s="87">
        <f t="shared" si="6"/>
        <v>-72785851.75</v>
      </c>
      <c r="K26" s="87">
        <f t="shared" si="6"/>
        <v>-73844758.75</v>
      </c>
      <c r="L26" s="87">
        <f t="shared" si="6"/>
        <v>-78353221.75</v>
      </c>
      <c r="M26" s="87">
        <f t="shared" si="6"/>
        <v>-80056801.75</v>
      </c>
      <c r="N26" s="87">
        <f t="shared" si="6"/>
        <v>-80156801.75</v>
      </c>
      <c r="O26" s="87">
        <f t="shared" si="6"/>
        <v>-82620009.75</v>
      </c>
      <c r="P26" s="87">
        <f t="shared" si="6"/>
        <v>-82855270.75</v>
      </c>
      <c r="Q26" s="87">
        <f t="shared" si="6"/>
        <v>-84265189.75</v>
      </c>
      <c r="R26" s="87">
        <f t="shared" si="6"/>
        <v>-85828204.75</v>
      </c>
      <c r="S26" s="87">
        <f t="shared" si="6"/>
        <v>-89871375.75</v>
      </c>
      <c r="T26" s="87">
        <f t="shared" si="6"/>
        <v>-89871375.75</v>
      </c>
      <c r="U26" s="87">
        <f t="shared" si="6"/>
        <v>-89871375.75</v>
      </c>
      <c r="V26" s="87">
        <f t="shared" si="6"/>
        <v>-89871375.75</v>
      </c>
      <c r="W26" s="87">
        <f t="shared" si="6"/>
        <v>-89871375.75</v>
      </c>
      <c r="X26" s="87">
        <f t="shared" si="6"/>
        <v>-89871375.75</v>
      </c>
      <c r="Y26" s="87">
        <f t="shared" si="6"/>
        <v>-89871375.75</v>
      </c>
      <c r="Z26" s="87">
        <f t="shared" si="6"/>
        <v>-89871375.75</v>
      </c>
      <c r="AA26" s="87">
        <f t="shared" si="6"/>
        <v>-89871375.75</v>
      </c>
      <c r="AB26" s="87">
        <f t="shared" si="6"/>
        <v>-89871375.75</v>
      </c>
      <c r="AC26" s="87">
        <f t="shared" si="6"/>
        <v>-89871375.75</v>
      </c>
      <c r="AD26" s="87">
        <f t="shared" si="6"/>
        <v>-89871375.75</v>
      </c>
      <c r="AE26" s="87">
        <f t="shared" si="6"/>
        <v>-89871375.75</v>
      </c>
      <c r="AF26" s="87">
        <f t="shared" si="6"/>
        <v>-89871375.75</v>
      </c>
      <c r="AG26" s="87">
        <f t="shared" si="6"/>
        <v>-89871375.75</v>
      </c>
      <c r="AH26" s="87">
        <f t="shared" si="6"/>
        <v>-89871375.75</v>
      </c>
      <c r="AI26" s="87">
        <f t="shared" si="6"/>
        <v>-89871375.75</v>
      </c>
      <c r="AJ26" s="87">
        <f t="shared" si="6"/>
        <v>-89871375.75</v>
      </c>
      <c r="AK26" s="87">
        <f t="shared" si="6"/>
        <v>-89871375.75</v>
      </c>
      <c r="AL26" s="87">
        <f t="shared" si="6"/>
        <v>-89871375.75</v>
      </c>
      <c r="AM26" s="87">
        <f t="shared" si="6"/>
        <v>-89871375.75</v>
      </c>
      <c r="AN26" s="87">
        <f t="shared" si="6"/>
        <v>-89871375.75</v>
      </c>
      <c r="AO26" s="87">
        <f t="shared" si="6"/>
        <v>-89871375.75</v>
      </c>
      <c r="AP26" s="87">
        <f t="shared" si="6"/>
        <v>-89871375.75</v>
      </c>
      <c r="AQ26" s="87">
        <f t="shared" si="6"/>
        <v>-89871375.75</v>
      </c>
      <c r="AR26" s="87">
        <f t="shared" si="6"/>
        <v>-89871375.75</v>
      </c>
      <c r="AS26" s="87">
        <f t="shared" si="6"/>
        <v>-89871375.75</v>
      </c>
      <c r="AT26" s="87">
        <f t="shared" si="6"/>
        <v>-89871375.75</v>
      </c>
      <c r="AU26" s="87">
        <f t="shared" si="6"/>
        <v>-89871375.75</v>
      </c>
      <c r="AV26" s="87">
        <f t="shared" si="6"/>
        <v>-89871375.75</v>
      </c>
      <c r="AW26" s="87">
        <f t="shared" si="6"/>
        <v>-89871375.75</v>
      </c>
      <c r="AX26" s="87">
        <f t="shared" si="6"/>
        <v>-89871375.75</v>
      </c>
      <c r="AY26" s="87">
        <f t="shared" si="6"/>
        <v>-89871375.75</v>
      </c>
      <c r="AZ26" s="87">
        <f t="shared" si="6"/>
        <v>-89871375.75</v>
      </c>
      <c r="BA26" s="87">
        <f t="shared" si="6"/>
        <v>-89871375.75</v>
      </c>
      <c r="BB26" s="87">
        <f t="shared" si="6"/>
        <v>-89871375.75</v>
      </c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  <row r="28">
      <c r="Q28" s="68" t="s">
        <v>66</v>
      </c>
    </row>
    <row r="30">
      <c r="C30" s="9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2.0"/>
    <col customWidth="1" min="2" max="2" width="45.67"/>
    <col customWidth="1" min="3" max="3" width="23.33"/>
    <col customWidth="1" hidden="1" min="5" max="5" width="15.67"/>
    <col customWidth="1" min="7" max="7" width="13.33"/>
    <col hidden="1" min="8" max="8" width="11.22"/>
    <col customWidth="1" min="9" max="9" width="13.0"/>
    <col customWidth="1" min="10" max="10" width="12.67"/>
    <col hidden="1" min="11" max="11" width="11.22"/>
    <col customWidth="1" min="12" max="12" width="12.89"/>
    <col hidden="1" min="13" max="13" width="11.22"/>
    <col customWidth="1" min="14" max="14" width="3.89"/>
    <col customWidth="1" min="15" max="15" width="2.89"/>
    <col customWidth="1" min="16" max="17" width="14.44"/>
  </cols>
  <sheetData>
    <row r="2">
      <c r="P2" s="21" t="s">
        <v>29</v>
      </c>
    </row>
    <row r="3">
      <c r="P3" s="26" t="s">
        <v>39</v>
      </c>
      <c r="Q3" s="26" t="s">
        <v>41</v>
      </c>
      <c r="R3" s="26" t="s">
        <v>42</v>
      </c>
    </row>
    <row r="4"/>
    <row r="5">
      <c r="P5" s="37">
        <f t="shared" ref="P5:P28" si="1">C5-(G5+I5+J5+L5)</f>
        <v>0</v>
      </c>
      <c r="Q5" s="40" t="str">
        <f t="shared" ref="Q5:Q28" si="2">P5/C5</f>
        <v>#DIV/0!</v>
      </c>
      <c r="R5" s="44" t="str">
        <f t="shared" ref="R5:R28" si="3">P5/(SUM(G5:L5))</f>
        <v>#DIV/0!</v>
      </c>
    </row>
    <row r="6">
      <c r="P6" s="37">
        <f t="shared" si="1"/>
        <v>160631</v>
      </c>
      <c r="Q6" s="40">
        <f t="shared" si="2"/>
        <v>0.7626180382</v>
      </c>
      <c r="R6" s="44">
        <f t="shared" si="3"/>
        <v>0.06212854801</v>
      </c>
    </row>
    <row r="7">
      <c r="P7" s="37">
        <f t="shared" si="1"/>
        <v>-742857</v>
      </c>
      <c r="Q7" s="40" t="str">
        <f t="shared" si="2"/>
        <v>#DIV/0!</v>
      </c>
      <c r="R7" s="44">
        <f t="shared" si="3"/>
        <v>-1</v>
      </c>
    </row>
    <row r="8">
      <c r="P8" s="37">
        <f t="shared" si="1"/>
        <v>0</v>
      </c>
      <c r="Q8" s="40" t="str">
        <f t="shared" si="2"/>
        <v>#DIV/0!</v>
      </c>
      <c r="R8" s="44">
        <f t="shared" si="3"/>
        <v>0</v>
      </c>
    </row>
    <row r="9">
      <c r="P9" s="37">
        <f t="shared" si="1"/>
        <v>-80000</v>
      </c>
      <c r="Q9" s="40" t="str">
        <f t="shared" si="2"/>
        <v>#DIV/0!</v>
      </c>
      <c r="R9" s="44">
        <f t="shared" si="3"/>
        <v>-0.8314452597</v>
      </c>
    </row>
    <row r="10">
      <c r="P10" s="37">
        <f t="shared" si="1"/>
        <v>0</v>
      </c>
      <c r="Q10" s="40" t="str">
        <f t="shared" si="2"/>
        <v>#DIV/0!</v>
      </c>
      <c r="R10" s="44">
        <f t="shared" si="3"/>
        <v>0</v>
      </c>
    </row>
    <row r="11">
      <c r="P11" s="37">
        <f t="shared" si="1"/>
        <v>0</v>
      </c>
      <c r="Q11" s="40" t="str">
        <f t="shared" si="2"/>
        <v>#DIV/0!</v>
      </c>
      <c r="R11" s="44">
        <f t="shared" si="3"/>
        <v>0</v>
      </c>
    </row>
    <row r="12">
      <c r="A12" s="17" t="s">
        <v>62</v>
      </c>
      <c r="P12" s="37">
        <f t="shared" si="1"/>
        <v>-414191.8319</v>
      </c>
      <c r="Q12" s="40" t="str">
        <f t="shared" si="2"/>
        <v>#DIV/0!</v>
      </c>
      <c r="R12" s="44">
        <f t="shared" si="3"/>
        <v>-0.2537147549</v>
      </c>
    </row>
    <row r="13">
      <c r="P13" s="37">
        <f t="shared" si="1"/>
        <v>-254250</v>
      </c>
      <c r="Q13" s="40" t="str">
        <f t="shared" si="2"/>
        <v>#DIV/0!</v>
      </c>
      <c r="R13" s="44">
        <f t="shared" si="3"/>
        <v>-0.923735926</v>
      </c>
    </row>
    <row r="14">
      <c r="P14" s="37">
        <f t="shared" si="1"/>
        <v>1366394.88</v>
      </c>
      <c r="Q14" s="40">
        <f t="shared" si="2"/>
        <v>0.546557952</v>
      </c>
      <c r="R14" s="44">
        <f t="shared" si="3"/>
        <v>1.020536949</v>
      </c>
    </row>
    <row r="15" ht="18.75" customHeight="1">
      <c r="P15" s="37">
        <f t="shared" si="1"/>
        <v>-72000</v>
      </c>
      <c r="Q15" s="40">
        <f t="shared" si="2"/>
        <v>-0.1894736842</v>
      </c>
      <c r="R15" s="44">
        <f t="shared" si="3"/>
        <v>-0.1592920354</v>
      </c>
    </row>
    <row r="16">
      <c r="P16" s="37">
        <f t="shared" si="1"/>
        <v>997000</v>
      </c>
      <c r="Q16" s="40">
        <f t="shared" si="2"/>
        <v>1</v>
      </c>
      <c r="R16" s="44" t="str">
        <f t="shared" si="3"/>
        <v>#DIV/0!</v>
      </c>
    </row>
    <row r="17">
      <c r="P17" s="37">
        <f t="shared" si="1"/>
        <v>113166.2</v>
      </c>
      <c r="Q17" s="40">
        <f t="shared" si="2"/>
        <v>0.1371711515</v>
      </c>
      <c r="R17" s="44">
        <f t="shared" si="3"/>
        <v>0.1390489358</v>
      </c>
    </row>
    <row r="18">
      <c r="M18" s="37"/>
      <c r="N18" s="37"/>
      <c r="P18" s="37">
        <f t="shared" si="1"/>
        <v>403951.8</v>
      </c>
      <c r="Q18" s="40">
        <f t="shared" si="2"/>
        <v>0.9614054378</v>
      </c>
      <c r="R18" s="44">
        <f t="shared" si="3"/>
        <v>9.970130466</v>
      </c>
    </row>
    <row r="19">
      <c r="P19" s="37">
        <f t="shared" si="1"/>
        <v>393726</v>
      </c>
      <c r="Q19" s="40">
        <f t="shared" si="2"/>
        <v>0.803522449</v>
      </c>
      <c r="R19" s="44">
        <f t="shared" si="3"/>
        <v>1.55029505</v>
      </c>
    </row>
    <row r="20">
      <c r="P20" s="37">
        <f t="shared" si="1"/>
        <v>250000</v>
      </c>
      <c r="Q20" s="40">
        <f t="shared" si="2"/>
        <v>0.1470588235</v>
      </c>
      <c r="R20" s="44">
        <f t="shared" si="3"/>
        <v>0.1724137931</v>
      </c>
    </row>
    <row r="21">
      <c r="P21" s="37">
        <f t="shared" si="1"/>
        <v>550000</v>
      </c>
      <c r="Q21" s="40">
        <f t="shared" si="2"/>
        <v>1</v>
      </c>
      <c r="R21" s="44" t="str">
        <f t="shared" si="3"/>
        <v>#DIV/0!</v>
      </c>
    </row>
    <row r="22">
      <c r="P22" s="37">
        <f t="shared" si="1"/>
        <v>741000</v>
      </c>
      <c r="Q22" s="40">
        <f t="shared" si="2"/>
        <v>1</v>
      </c>
      <c r="R22" s="44" t="str">
        <f t="shared" si="3"/>
        <v>#DIV/0!</v>
      </c>
    </row>
    <row r="23">
      <c r="P23" s="37">
        <f t="shared" si="1"/>
        <v>-400350</v>
      </c>
      <c r="Q23" s="40">
        <f t="shared" si="2"/>
        <v>-0.5744726647</v>
      </c>
      <c r="R23" s="44">
        <f t="shared" si="3"/>
        <v>-0.3648667122</v>
      </c>
    </row>
    <row r="24">
      <c r="P24" s="37">
        <f t="shared" si="1"/>
        <v>13121747.99</v>
      </c>
      <c r="Q24" s="40">
        <f t="shared" si="2"/>
        <v>0.7513880264</v>
      </c>
      <c r="R24" s="44">
        <f t="shared" si="3"/>
        <v>1.364028998</v>
      </c>
    </row>
    <row r="25">
      <c r="P25" s="37">
        <f t="shared" si="1"/>
        <v>0</v>
      </c>
      <c r="Q25" s="40" t="str">
        <f t="shared" si="2"/>
        <v>#DIV/0!</v>
      </c>
      <c r="R25" s="44">
        <f t="shared" si="3"/>
        <v>0</v>
      </c>
    </row>
    <row r="26">
      <c r="P26" s="37">
        <f t="shared" si="1"/>
        <v>-61456659.94</v>
      </c>
      <c r="Q26" s="40" t="str">
        <f t="shared" si="2"/>
        <v>#DIV/0!</v>
      </c>
      <c r="R26" s="44">
        <f t="shared" si="3"/>
        <v>-1</v>
      </c>
    </row>
    <row r="27">
      <c r="P27" s="37">
        <f t="shared" si="1"/>
        <v>-39239.47899</v>
      </c>
      <c r="Q27" s="40" t="str">
        <f t="shared" si="2"/>
        <v>#DIV/0!</v>
      </c>
      <c r="R27" s="44">
        <f t="shared" si="3"/>
        <v>-1</v>
      </c>
    </row>
    <row r="28">
      <c r="P28" s="37">
        <f t="shared" si="1"/>
        <v>0</v>
      </c>
      <c r="Q28" s="40" t="str">
        <f t="shared" si="2"/>
        <v>#DIV/0!</v>
      </c>
      <c r="R28" s="44" t="str">
        <f t="shared" si="3"/>
        <v>#DIV/0!</v>
      </c>
    </row>
    <row r="29"/>
    <row r="30"/>
    <row r="59">
      <c r="D59" s="68" t="s">
        <v>144</v>
      </c>
      <c r="F59" s="68" t="s">
        <v>145</v>
      </c>
    </row>
    <row r="60">
      <c r="D60" s="69">
        <v>766692.0</v>
      </c>
      <c r="F60" s="70">
        <v>1.0</v>
      </c>
    </row>
    <row r="61">
      <c r="D61" s="69">
        <v>116962.0</v>
      </c>
      <c r="F61" s="71">
        <f>(D61*F60)/D60</f>
        <v>0.1525540895</v>
      </c>
    </row>
  </sheetData>
  <mergeCells count="4">
    <mergeCell ref="P2:R2"/>
    <mergeCell ref="P3:P4"/>
    <mergeCell ref="Q3:Q4"/>
    <mergeCell ref="R3:R4"/>
  </mergeCells>
  <hyperlinks>
    <hyperlink r:id="rId2" ref="B14"/>
    <hyperlink r:id="rId3" ref="B17"/>
    <hyperlink r:id="rId4" ref="B18"/>
    <hyperlink r:id="rId5" ref="B21"/>
    <hyperlink r:id="rId6" ref="B23"/>
    <hyperlink r:id="rId7" ref="B24"/>
    <hyperlink r:id="rId8" ref="B25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4.56"/>
    <col customWidth="1" min="2" max="2" width="12.44"/>
    <col customWidth="1" min="3" max="3" width="18.78"/>
  </cols>
  <sheetData>
    <row r="1">
      <c r="H1" s="89" t="s">
        <v>175</v>
      </c>
      <c r="I1" s="89" t="s">
        <v>176</v>
      </c>
      <c r="J1" s="89" t="s">
        <v>42</v>
      </c>
    </row>
    <row r="2">
      <c r="H2" s="90"/>
      <c r="I2" s="90"/>
      <c r="J2" s="90"/>
    </row>
    <row r="3">
      <c r="H3" s="92">
        <f>C17-(B3+C3)</f>
        <v>-1686473</v>
      </c>
      <c r="I3" s="93" t="str">
        <f>H3/C17</f>
        <v>#DIV/0!</v>
      </c>
      <c r="J3" s="93">
        <f>H3/B3</f>
        <v>-5.747093182</v>
      </c>
    </row>
    <row r="4">
      <c r="H4" s="94" t="s">
        <v>181</v>
      </c>
      <c r="I4" s="94" t="s">
        <v>182</v>
      </c>
      <c r="J4" s="94" t="s">
        <v>181</v>
      </c>
    </row>
    <row r="5">
      <c r="H5" s="92">
        <f t="shared" ref="H5:H6" si="1">C19-(B5+C5)</f>
        <v>-730038</v>
      </c>
      <c r="I5" s="93" t="str">
        <f t="shared" ref="I5:I6" si="2">H5/C19</f>
        <v>#DIV/0!</v>
      </c>
      <c r="J5" s="93">
        <f t="shared" ref="J5:J6" si="3">H5/B5</f>
        <v>-6.111201333</v>
      </c>
    </row>
    <row r="6">
      <c r="H6" s="92">
        <f t="shared" si="1"/>
        <v>-50020</v>
      </c>
      <c r="I6" s="93" t="str">
        <f t="shared" si="2"/>
        <v>#DIV/0!</v>
      </c>
      <c r="J6" s="93">
        <f t="shared" si="3"/>
        <v>-1.667333333</v>
      </c>
    </row>
    <row r="7">
      <c r="H7" s="94" t="s">
        <v>181</v>
      </c>
      <c r="I7" s="94" t="s">
        <v>182</v>
      </c>
      <c r="J7" s="94" t="s">
        <v>182</v>
      </c>
    </row>
    <row r="8">
      <c r="H8" s="94" t="s">
        <v>181</v>
      </c>
      <c r="I8" s="94" t="s">
        <v>182</v>
      </c>
      <c r="J8" s="94" t="s">
        <v>182</v>
      </c>
    </row>
    <row r="9">
      <c r="H9" s="94" t="s">
        <v>181</v>
      </c>
      <c r="I9" s="94" t="s">
        <v>182</v>
      </c>
      <c r="J9" s="94" t="s">
        <v>182</v>
      </c>
    </row>
    <row r="10">
      <c r="H10" s="94" t="s">
        <v>181</v>
      </c>
      <c r="I10" s="94" t="s">
        <v>182</v>
      </c>
      <c r="J10" s="94" t="s">
        <v>182</v>
      </c>
    </row>
    <row r="11">
      <c r="H11" s="92">
        <f>C23-(B11+C11)</f>
        <v>-9823379</v>
      </c>
      <c r="I11" s="93" t="str">
        <f>H11/C23</f>
        <v>#DIV/0!</v>
      </c>
      <c r="J11" s="93">
        <f>H11/B11</f>
        <v>-2.100672497</v>
      </c>
    </row>
    <row r="12"/>
    <row r="13"/>
    <row r="14">
      <c r="A14" s="96" t="s">
        <v>185</v>
      </c>
    </row>
    <row r="15"/>
    <row r="16"/>
    <row r="17"/>
    <row r="18"/>
    <row r="19"/>
    <row r="20"/>
    <row r="21"/>
    <row r="22"/>
    <row r="23"/>
    <row r="24"/>
    <row r="25"/>
  </sheetData>
  <mergeCells count="3">
    <mergeCell ref="H1:H2"/>
    <mergeCell ref="I1:I2"/>
    <mergeCell ref="J1:J2"/>
  </mergeCells>
  <hyperlinks>
    <hyperlink r:id="rId3" ref="A3"/>
    <hyperlink r:id="rId4" ref="A5"/>
    <hyperlink r:id="rId5" ref="A6"/>
    <hyperlink r:id="rId6" ref="A9"/>
    <hyperlink r:id="rId7" ref="A10"/>
    <hyperlink r:id="rId8" ref="A11"/>
    <hyperlink r:id="rId9" ref="A12"/>
    <hyperlink r:id="rId10" ref="A17"/>
    <hyperlink r:id="rId11" ref="A19"/>
    <hyperlink r:id="rId12" ref="A20"/>
    <hyperlink r:id="rId13" ref="A23"/>
    <hyperlink r:id="rId14" ref="A24"/>
    <hyperlink r:id="rId15" ref="A25"/>
  </hyperlinks>
  <drawing r:id="rId1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2025-08-14T16:55:38Z</dcterms:created>
  <dc:creator>ARRIAGADA BASCUÑAN, IVAN A.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0x01010029EF8AF417017040B6C8744630567C05</vt:lpwstr>
  </property>
  <property fmtid="{D5CDD505-2E9C-101B-9397-08002B2CF9AE}" pid="3" name="MediaServiceImageTags">
    <vt:lpwstr/>
  </property>
</Properties>
</file>